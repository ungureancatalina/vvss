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ungur\OneDrive\Desktop\AN_3\SEM2\vvss\Lab01\DrinkShop\repo_vvss_drinkshop\docs\Lab01\"/>
    </mc:Choice>
  </mc:AlternateContent>
  <xr:revisionPtr revIDLastSave="0" documentId="13_ncr:1_{06347216-CCBF-411A-BFA1-17D30F729F9B}" xr6:coauthVersionLast="47" xr6:coauthVersionMax="47" xr10:uidLastSave="{00000000-0000-0000-0000-000000000000}"/>
  <bookViews>
    <workbookView xWindow="-98" yWindow="-98" windowWidth="24196" windowHeight="14476" tabRatio="650" activeTab="3" xr2:uid="{00000000-000D-0000-FFFF-FFFF00000000}"/>
  </bookViews>
  <sheets>
    <sheet name="Requirements Phase Defects" sheetId="7" r:id="rId1"/>
    <sheet name="Architect. Design Phase Defects" sheetId="6" r:id="rId2"/>
    <sheet name="Coding Phase Defects" sheetId="5" r:id="rId3"/>
    <sheet name="Tool-basedCodeAnalysis"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8" l="1"/>
  <c r="B12" i="8" s="1"/>
  <c r="B13" i="8" s="1"/>
  <c r="B14" i="8" s="1"/>
  <c r="B15" i="8" s="1"/>
  <c r="B16" i="8" s="1"/>
  <c r="B17" i="8" s="1"/>
  <c r="B18" i="8" s="1"/>
  <c r="B19" i="8" s="1"/>
  <c r="B20" i="8" s="1"/>
  <c r="B21" i="8" s="1"/>
  <c r="B22" i="8" s="1"/>
  <c r="B23" i="8" s="1"/>
  <c r="B24" i="8" s="1"/>
  <c r="B25" i="8" s="1"/>
  <c r="B26" i="8" s="1"/>
  <c r="B27" i="8" s="1"/>
  <c r="B28" i="8" s="1"/>
  <c r="B29" i="8" s="1"/>
  <c r="B30" i="8" s="1"/>
  <c r="B11" i="7" l="1"/>
  <c r="B12" i="7"/>
  <c r="B13" i="7" s="1"/>
  <c r="B14" i="7" s="1"/>
  <c r="B15" i="7" s="1"/>
  <c r="B16" i="7" s="1"/>
  <c r="B17" i="7" s="1"/>
  <c r="B18" i="7" s="1"/>
  <c r="B19" i="7" s="1"/>
  <c r="B20" i="7" s="1"/>
  <c r="B21" i="7" s="1"/>
  <c r="B22" i="7" s="1"/>
  <c r="B23" i="7" s="1"/>
  <c r="B24" i="7" s="1"/>
  <c r="B25" i="7" s="1"/>
  <c r="B11" i="6"/>
  <c r="B12" i="6" s="1"/>
  <c r="B13" i="6" s="1"/>
  <c r="B14" i="6" s="1"/>
  <c r="B15" i="6" s="1"/>
  <c r="B16" i="6" s="1"/>
  <c r="B17" i="6" s="1"/>
  <c r="B18" i="6" s="1"/>
  <c r="B19" i="6" s="1"/>
  <c r="B20" i="6" s="1"/>
  <c r="B21" i="6" s="1"/>
  <c r="B22" i="6" s="1"/>
  <c r="B23" i="6" s="1"/>
  <c r="B24" i="6" s="1"/>
  <c r="B25" i="6" s="1"/>
  <c r="B26" i="6" s="1"/>
  <c r="B11" i="5"/>
  <c r="B12" i="5" s="1"/>
  <c r="B13" i="5" s="1"/>
  <c r="B14" i="5" s="1"/>
  <c r="B15" i="5" s="1"/>
  <c r="B16" i="5" s="1"/>
  <c r="B17" i="5" s="1"/>
  <c r="B18" i="5" s="1"/>
  <c r="B19" i="5" s="1"/>
  <c r="B20" i="5" s="1"/>
  <c r="B21" i="5" s="1"/>
  <c r="B22" i="5" s="1"/>
  <c r="B23" i="5" s="1"/>
  <c r="B24" i="5" s="1"/>
  <c r="B25" i="5" s="1"/>
  <c r="B26" i="5" s="1"/>
  <c r="B27" i="5" s="1"/>
  <c r="B28" i="5" s="1"/>
  <c r="B29" i="5" s="1"/>
  <c r="B30" i="5" s="1"/>
</calcChain>
</file>

<file path=xl/sharedStrings.xml><?xml version="1.0" encoding="utf-8"?>
<sst xmlns="http://schemas.openxmlformats.org/spreadsheetml/2006/main" count="142" uniqueCount="82">
  <si>
    <t>Document  Title:</t>
  </si>
  <si>
    <t xml:space="preserve">Review date: </t>
  </si>
  <si>
    <t>Reviewer Name:</t>
  </si>
  <si>
    <t>do not print this form</t>
  </si>
  <si>
    <t>Crt. No.</t>
  </si>
  <si>
    <t>Checked Item</t>
  </si>
  <si>
    <t>Doc. page/line</t>
  </si>
  <si>
    <t>Comments/ improvements</t>
  </si>
  <si>
    <t>Effort to review document (hours):</t>
  </si>
  <si>
    <t>Author Name:</t>
  </si>
  <si>
    <t xml:space="preserve">Author Name: </t>
  </si>
  <si>
    <t>Requirements Document</t>
  </si>
  <si>
    <t>Architectural Design Document</t>
  </si>
  <si>
    <t>Coding Document</t>
  </si>
  <si>
    <t>Review Form. Coding Defects</t>
  </si>
  <si>
    <t>Review Form. Architectural Design Defects</t>
  </si>
  <si>
    <t>Review Form. Requirements Defects</t>
  </si>
  <si>
    <t>Student 1:</t>
  </si>
  <si>
    <t>Student 2:</t>
  </si>
  <si>
    <t>Student 3:</t>
  </si>
  <si>
    <t>Echipa</t>
  </si>
  <si>
    <t>Grupa</t>
  </si>
  <si>
    <t>Tool used:</t>
  </si>
  <si>
    <t>Before</t>
  </si>
  <si>
    <t>Issue</t>
  </si>
  <si>
    <t>File, Line</t>
  </si>
  <si>
    <t>After/Argument</t>
  </si>
  <si>
    <t>Numele si prenumele</t>
  </si>
  <si>
    <t>Tool-based Code Analysis</t>
  </si>
  <si>
    <t>Effort to perform tool-based code analysis (hours):</t>
  </si>
  <si>
    <t>Ungurean Catalina, Vranciu Andra, Zaharia Ilinca</t>
  </si>
  <si>
    <t>Zaharia Ilinca</t>
  </si>
  <si>
    <t>Vranciu Andra</t>
  </si>
  <si>
    <t>Ungurean Catalina</t>
  </si>
  <si>
    <t>R01</t>
  </si>
  <si>
    <t>R02</t>
  </si>
  <si>
    <t>R04</t>
  </si>
  <si>
    <t>Pag1</t>
  </si>
  <si>
    <t>0.25</t>
  </si>
  <si>
    <t>Linia 45 - StocService</t>
  </si>
  <si>
    <t>C06</t>
  </si>
  <si>
    <t>C08</t>
  </si>
  <si>
    <t>C01</t>
  </si>
  <si>
    <t>Linia 25,36- FileAbstractRepository</t>
  </si>
  <si>
    <t>A5</t>
  </si>
  <si>
    <t>A9</t>
  </si>
  <si>
    <t>A10</t>
  </si>
  <si>
    <t>Enum</t>
  </si>
  <si>
    <t>Clasa Stoc</t>
  </si>
  <si>
    <t>Exceptii</t>
  </si>
  <si>
    <t>0.75</t>
  </si>
  <si>
    <t>Add a private constructor to hide the implicit public one.</t>
  </si>
  <si>
    <t>Remove the parentheses around the "p1" parameter</t>
  </si>
  <si>
    <t>Use multiple calls to "append" instead of string concatenation.</t>
  </si>
  <si>
    <t>private ReceiptGenerator() {}</t>
  </si>
  <si>
    <t>Nu are constructor definit</t>
  </si>
  <si>
    <t>(p1)-&gt;i.getProduct().getId()==p1.getId()</t>
  </si>
  <si>
    <t>p1 -&gt; i.getProduct().getId()==p1.getId()</t>
  </si>
  <si>
    <t>sb.append(p.getNume()+": ")</t>
  </si>
  <si>
    <t>sb.append(p.getNume()).append(": ")</t>
  </si>
  <si>
    <t>Make non-static "product" transient or serializable.</t>
  </si>
  <si>
    <t>public class Product {</t>
  </si>
  <si>
    <t>Use a StringBuilder instead.</t>
  </si>
  <si>
    <t>String errors = ""; (și concatenările cu +=)</t>
  </si>
  <si>
    <t>ReceiptGenerator linia 11</t>
  </si>
  <si>
    <t>ReceiptGenerator linia 17</t>
  </si>
  <si>
    <t>ReceiptGenerator linia 18</t>
  </si>
  <si>
    <t>OrderValidator linia 25</t>
  </si>
  <si>
    <t>OrderItem linia 7</t>
  </si>
  <si>
    <t>private transient Product product;</t>
  </si>
  <si>
    <r>
      <t>StringBuilder errors = new StringBuilder();</t>
    </r>
    <r>
      <rPr>
        <sz val="11"/>
        <color theme="1"/>
        <rFont val="Calibri"/>
        <family val="2"/>
        <charset val="238"/>
        <scheme val="minor"/>
      </rPr>
      <t xml:space="preserve"> (și </t>
    </r>
    <r>
      <rPr>
        <sz val="10"/>
        <color theme="1"/>
        <rFont val="Calibri"/>
        <family val="2"/>
        <charset val="238"/>
        <scheme val="minor"/>
      </rPr>
      <t>errors.append(...)</t>
    </r>
    <r>
      <rPr>
        <sz val="11"/>
        <color theme="1"/>
        <rFont val="Calibri"/>
        <family val="2"/>
        <charset val="238"/>
        <scheme val="minor"/>
      </rPr>
      <t>)</t>
    </r>
  </si>
  <si>
    <t>Aici problema este la actualizarea stocului dupa ce se plaseaza o comanda. Programul facea un cast la (int) pentru cantitatea ramasa, desi in clasa variabila este gandita ca double. Practic, daca avem ingrediente care se consuma cu zecimale (gen 0.5 litri de lapte la o cafea), cast-ul asta taie complet virgula, rotunjeste prost si strica toata evidenta stocului in timp. 
Corectare: Am sters de tot cast-ul acela fortat ca sa las scaderea normala in virgula mobila. Linia a ramas asa: s.setCantitate(s.getCantitate() - deScazut);</t>
  </si>
  <si>
    <t>In metodele care se ocupa cu salvarea si citirea din fisiere (loadFromFile si writeToFile), erorile de tip IOException erau prinse in blocul catch dar erau practic ignorate. Era pus doar un simplu e.printStackTrace(). Din cauza asta, daca fisierul nu exista sau nu avea permisiuni, aplicatia arunca niste text rosu in consola dar continua sa ruleze de parca totul e ok.
Corectare: Am scos print-ul si am pus sa arunce eroarea mai departe ca sa crape aplicatia cum trebuie cand e o problema de fisier: throw new RuntimeException(e);</t>
  </si>
  <si>
    <t>Linia 16 - CsvExporter</t>
  </si>
  <si>
    <t>Cand se da export la raportul CSV, programul incearca sa extraga produsul dintr-o comanda folosind stream-uri si la final ia primul element cu .toList().get(0). Daca acel produs dintr-o comanda mai veche a fost sters intre timp din meniu, lista rezultata din filtru va fi goala. Cand apelezi get(0) pe ceva gol, crapa instant tot exportul cu IndexOutOfBoundsException.
Corectare: Am inlocuit logica cu o metoda mai sigura pentru stream-uri. In loc de toList am folosit direct .findFirst().get().</t>
  </si>
  <si>
    <t>TipBautura si CategorieBautura sunt trecute ca Enum-uri in diagrama, dar in cerinte scrie clar ca utilizatorul trebuie sa poata adauga sau sterge categorii noi direct din interfata. Nu ai cum sa faci asta dinamic cu un Enum pentru ca e hardcodat.
Imbunatatire: Trebuie schimbate din Enum in clase normale (entitati) si facute repository-uri pentru ele ca sa le putem salva/modifica in fisiere.</t>
  </si>
  <si>
    <t xml:space="preserve">Avem definita o singura clasa de exceptii (ValidationException). Asta inseamna ca daca pica citirea dintr-un fisier sau pui un ID duplicat, aplicatia arunca tot eroare de "validare", ceea ce nu are sens.
Imbunatatire: Am adaugat in diagrama o clasa noua RepositoryException, ca sa separam logic erorile date de date gresite de alea date de fisierele care crapa. </t>
  </si>
  <si>
    <t>In documentul cu cerinte se zice ca stocul se actualizeaza cand se fac comenzi, dar nu scrie absolut nicaieri ce se intampla daca cineva vrea sa comande o bautura si nu mai avem destule ingrediente. Cum e scris acum, programul ar putea sa scada pe minus fara sa ne avertizeze.
Imbunatatire: Trebuie adaugata o regula clara: "La plasarea unei comenzi, aplicația trebuie să verifice dacă există suficiente ingrediente în stoc pentru prepararea produselor comandate. Dacă stocul este insuficient, aplicația va afișa un mesaj de eroare și nu va permite finalizarea comenzii."</t>
  </si>
  <si>
    <t>La inceputul PDF-ului scrie ca aplicatia este pentru gestionarea ingredientelor, dar in lista de functionalitati zice doar de afisare stoc si actualizare. Nu zice nimic de cum adaugi un ingredient nou in sistem sau cum ii schimbi numele. Lipsesc practic operatiile de baza (CRUD).
Imbunatatire: Am adaugat cerinte noi: "Aplicația trebuie să permită gestionarea ingredientelor: adăugare ingredient nou; modificare ingredient existent; ștergere ingredient; afișare listă ingrediente."</t>
  </si>
  <si>
    <t>La sectiunea de cerinte non-functionale zice doar ca salvarea datelor se face in fisiere text, dar nu clarifica deloc starea initiala a sistemului. Daca fisierele alea txt nu exista in folder, aplicatia o sa dea eroare la pornire sau stie sa si le creeze singura?
Imbunatatire: Am completat cerintele cu mentiunea: "La prima rulare a aplicației, dacă fișierele de date necesare nu există, aplicația va crea automat fișiere goale pentru stocarea datelor (produse, ingrediente, rețete și comenzi)."</t>
  </si>
  <si>
    <t>Clasa Stoc este izolata in diagrama. In loc sa aiba o legatura cu o entitate de tip ingredient, are doar un simplu String pentru nume. Nu e ok pe partea de OOP pentru ca nu exista o asociere clara care sa ne arate legatura dintre Stoc si Ingredient.
Imbunatatire: Trebuie creata o clasa noua numita Ingredient in diagrama, si pusa o sageata de asociere intre ele. Practic, clasa Stoc trebuie sa fie legata direct printr-o relatie (1 la 1) de aceasta noua clasa Ingredient.</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</si>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</sst>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rgb="FF000080"/>
      <name val="Calibri"/>
      <family val="2"/>
      <scheme val="minor"/>
    </font>
    <font>
      <i/>
      <sz val="9"/>
      <color rgb="FFC00000"/>
      <name val="Calibri"/>
      <family val="2"/>
      <scheme val="minor"/>
    </font>
    <font>
      <b/>
      <i/>
      <sz val="11"/>
      <color theme="1"/>
      <name val="Calibri"/>
      <family val="2"/>
      <scheme val="minor"/>
    </font>
    <font>
      <sz val="10"/>
      <color theme="1"/>
      <name val="Calibri"/>
      <family val="2"/>
      <charset val="238"/>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1">
    <xf numFmtId="0" fontId="0" fillId="0" borderId="0" xfId="0"/>
    <xf numFmtId="0" fontId="7" fillId="0" borderId="1" xfId="0" applyFont="1" applyBorder="1"/>
    <xf numFmtId="0" fontId="7" fillId="0" borderId="1" xfId="0" applyFont="1" applyBorder="1" applyAlignment="1">
      <alignment wrapText="1"/>
    </xf>
    <xf numFmtId="0" fontId="5" fillId="0" borderId="1" xfId="0" applyFont="1" applyBorder="1"/>
    <xf numFmtId="0" fontId="8" fillId="0" borderId="0" xfId="0" applyFont="1"/>
    <xf numFmtId="0" fontId="9" fillId="0" borderId="0" xfId="0" applyFont="1"/>
    <xf numFmtId="0" fontId="5" fillId="0" borderId="0" xfId="0" applyFont="1"/>
    <xf numFmtId="0" fontId="6" fillId="3" borderId="1" xfId="0" applyFont="1" applyFill="1" applyBorder="1"/>
    <xf numFmtId="0" fontId="6" fillId="0" borderId="0" xfId="0" applyFont="1"/>
    <xf numFmtId="0" fontId="6" fillId="0" borderId="1" xfId="0" applyFont="1" applyBorder="1"/>
    <xf numFmtId="0" fontId="6" fillId="0" borderId="1" xfId="0" applyFont="1" applyBorder="1" applyAlignment="1">
      <alignment horizontal="center" vertical="center"/>
    </xf>
    <xf numFmtId="0" fontId="6" fillId="0" borderId="2" xfId="0" applyFont="1" applyBorder="1"/>
    <xf numFmtId="0" fontId="6" fillId="0" borderId="3" xfId="0" applyFont="1" applyBorder="1"/>
    <xf numFmtId="0" fontId="6" fillId="2" borderId="1" xfId="0" applyFont="1" applyFill="1" applyBorder="1"/>
    <xf numFmtId="0" fontId="6" fillId="0" borderId="1" xfId="0" applyFont="1" applyBorder="1" applyAlignment="1">
      <alignment horizontal="center" vertical="center" wrapText="1"/>
    </xf>
    <xf numFmtId="0" fontId="5" fillId="0" borderId="1" xfId="0" applyFont="1" applyBorder="1" applyAlignment="1">
      <alignment wrapText="1"/>
    </xf>
    <xf numFmtId="0" fontId="6" fillId="4" borderId="1" xfId="0" applyFont="1" applyFill="1" applyBorder="1"/>
    <xf numFmtId="0" fontId="4" fillId="0" borderId="1" xfId="0" applyFont="1" applyBorder="1"/>
    <xf numFmtId="0" fontId="7" fillId="0" borderId="0" xfId="0" applyFont="1"/>
    <xf numFmtId="0" fontId="3" fillId="0" borderId="1" xfId="0" applyFont="1" applyBorder="1"/>
    <xf numFmtId="0" fontId="2" fillId="0" borderId="0" xfId="0" applyFont="1"/>
    <xf numFmtId="0" fontId="1" fillId="0" borderId="0" xfId="0" applyFont="1"/>
    <xf numFmtId="0" fontId="1" fillId="0" borderId="1" xfId="0" applyFont="1" applyBorder="1"/>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xf numFmtId="14" fontId="6" fillId="0" borderId="1" xfId="0" applyNumberFormat="1" applyFont="1" applyBorder="1" applyAlignment="1">
      <alignment horizontal="right"/>
    </xf>
    <xf numFmtId="0" fontId="6" fillId="0" borderId="1" xfId="0" applyFont="1" applyBorder="1" applyAlignment="1">
      <alignment horizontal="right"/>
    </xf>
    <xf numFmtId="0" fontId="4" fillId="0" borderId="1" xfId="0" applyFont="1" applyBorder="1" applyAlignment="1">
      <alignment horizontal="center"/>
    </xf>
    <xf numFmtId="0" fontId="6" fillId="4" borderId="1" xfId="0" applyFont="1" applyFill="1" applyBorder="1" applyAlignment="1">
      <alignment horizontal="right"/>
    </xf>
    <xf numFmtId="0" fontId="6" fillId="0" borderId="0" xfId="0" applyFont="1" applyAlignment="1">
      <alignment horizontal="center"/>
    </xf>
    <xf numFmtId="0" fontId="10" fillId="4" borderId="2" xfId="0" applyFont="1" applyFill="1" applyBorder="1" applyAlignment="1">
      <alignment horizontal="right"/>
    </xf>
    <xf numFmtId="0" fontId="10" fillId="4" borderId="4" xfId="0" applyFont="1" applyFill="1" applyBorder="1" applyAlignment="1">
      <alignment horizontal="right"/>
    </xf>
    <xf numFmtId="0" fontId="6" fillId="2" borderId="1" xfId="0" applyFont="1" applyFill="1" applyBorder="1" applyAlignment="1">
      <alignment horizontal="right"/>
    </xf>
    <xf numFmtId="0" fontId="10" fillId="2" borderId="2" xfId="0" applyFont="1" applyFill="1" applyBorder="1" applyAlignment="1">
      <alignment horizontal="right"/>
    </xf>
    <xf numFmtId="0" fontId="10" fillId="2" borderId="4" xfId="0" applyFont="1" applyFill="1" applyBorder="1" applyAlignment="1">
      <alignment horizontal="right"/>
    </xf>
    <xf numFmtId="0" fontId="6" fillId="3" borderId="1" xfId="0" applyFont="1" applyFill="1" applyBorder="1" applyAlignment="1">
      <alignment horizontal="right"/>
    </xf>
    <xf numFmtId="0" fontId="10" fillId="3" borderId="2" xfId="0" applyFont="1" applyFill="1" applyBorder="1" applyAlignment="1">
      <alignment horizontal="right"/>
    </xf>
    <xf numFmtId="0" fontId="10" fillId="3" borderId="4" xfId="0" applyFont="1" applyFill="1" applyBorder="1" applyAlignment="1">
      <alignment horizontal="right"/>
    </xf>
    <xf numFmtId="0" fontId="6" fillId="0" borderId="5" xfId="0" applyFont="1" applyBorder="1" applyAlignment="1">
      <alignment horizontal="left"/>
    </xf>
    <xf numFmtId="0" fontId="6"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J27"/>
  <sheetViews>
    <sheetView topLeftCell="B10" zoomScale="110" zoomScaleNormal="115" workbookViewId="0">
      <selection activeCell="E11" sqref="E11"/>
    </sheetView>
  </sheetViews>
  <sheetFormatPr defaultColWidth="9" defaultRowHeight="14.25" x14ac:dyDescent="0.45"/>
  <cols>
    <col min="1" max="1" width="9" style="6"/>
    <col min="2" max="2" width="12.265625" style="6" customWidth="1"/>
    <col min="3" max="4" width="16.265625" style="6" customWidth="1"/>
    <col min="5" max="5" width="54.59765625" style="6" customWidth="1"/>
    <col min="6" max="8" width="9" style="6"/>
    <col min="9" max="9" width="21" style="6" customWidth="1"/>
    <col min="10" max="10" width="14.3984375" style="6" customWidth="1"/>
    <col min="11" max="16384" width="9" style="6"/>
  </cols>
  <sheetData>
    <row r="1" spans="1:10" ht="15.75" x14ac:dyDescent="0.5">
      <c r="A1" s="4"/>
      <c r="B1" s="5" t="s">
        <v>3</v>
      </c>
      <c r="H1" s="28" t="s">
        <v>20</v>
      </c>
      <c r="I1" s="28"/>
      <c r="J1" s="28"/>
    </row>
    <row r="2" spans="1:10" x14ac:dyDescent="0.45">
      <c r="B2" s="30" t="s">
        <v>16</v>
      </c>
      <c r="C2" s="30"/>
      <c r="D2" s="30"/>
      <c r="E2" s="30"/>
      <c r="H2" s="3"/>
      <c r="I2" s="19" t="s">
        <v>27</v>
      </c>
      <c r="J2" s="17" t="s">
        <v>21</v>
      </c>
    </row>
    <row r="3" spans="1:10" x14ac:dyDescent="0.45">
      <c r="H3" s="17" t="s">
        <v>17</v>
      </c>
      <c r="I3" s="17" t="s">
        <v>33</v>
      </c>
      <c r="J3" s="17">
        <v>237</v>
      </c>
    </row>
    <row r="4" spans="1:10" x14ac:dyDescent="0.45">
      <c r="C4" s="13" t="s">
        <v>0</v>
      </c>
      <c r="D4" s="33" t="s">
        <v>11</v>
      </c>
      <c r="E4" s="33"/>
      <c r="H4" s="17" t="s">
        <v>18</v>
      </c>
      <c r="I4" s="3" t="s">
        <v>32</v>
      </c>
      <c r="J4" s="3">
        <v>237</v>
      </c>
    </row>
    <row r="5" spans="1:10" x14ac:dyDescent="0.45">
      <c r="C5" s="13" t="s">
        <v>9</v>
      </c>
      <c r="D5" s="34" t="s">
        <v>30</v>
      </c>
      <c r="E5" s="35"/>
      <c r="H5" s="17" t="s">
        <v>19</v>
      </c>
      <c r="I5" s="22" t="s">
        <v>31</v>
      </c>
      <c r="J5" s="3">
        <v>237</v>
      </c>
    </row>
    <row r="6" spans="1:10" x14ac:dyDescent="0.45">
      <c r="B6" s="8"/>
      <c r="C6" s="9" t="s">
        <v>2</v>
      </c>
      <c r="D6" s="27" t="s">
        <v>30</v>
      </c>
      <c r="E6" s="27"/>
    </row>
    <row r="7" spans="1:10" x14ac:dyDescent="0.45">
      <c r="C7" s="9" t="s">
        <v>1</v>
      </c>
      <c r="D7" s="26">
        <v>46094</v>
      </c>
      <c r="E7" s="27"/>
    </row>
    <row r="9" spans="1:10" x14ac:dyDescent="0.45">
      <c r="B9" s="10" t="s">
        <v>4</v>
      </c>
      <c r="C9" s="10" t="s">
        <v>5</v>
      </c>
      <c r="D9" s="10" t="s">
        <v>6</v>
      </c>
      <c r="E9" s="14" t="s">
        <v>7</v>
      </c>
    </row>
    <row r="10" spans="1:10" ht="142.5" x14ac:dyDescent="0.45">
      <c r="B10" s="23">
        <v>1</v>
      </c>
      <c r="C10" s="24" t="s">
        <v>34</v>
      </c>
      <c r="D10" s="25" t="s">
        <v>37</v>
      </c>
      <c r="E10" s="24" t="s">
        <v>77</v>
      </c>
    </row>
    <row r="11" spans="1:10" ht="128.25" x14ac:dyDescent="0.45">
      <c r="B11" s="23">
        <f>B10+1</f>
        <v>2</v>
      </c>
      <c r="C11" s="23" t="s">
        <v>35</v>
      </c>
      <c r="D11" s="23" t="s">
        <v>37</v>
      </c>
      <c r="E11" s="24" t="s">
        <v>78</v>
      </c>
    </row>
    <row r="12" spans="1:10" ht="114" x14ac:dyDescent="0.45">
      <c r="B12" s="23">
        <f t="shared" ref="B12:B25" si="0">B11+1</f>
        <v>3</v>
      </c>
      <c r="C12" s="23" t="s">
        <v>36</v>
      </c>
      <c r="D12" s="23" t="s">
        <v>37</v>
      </c>
      <c r="E12" s="24" t="s">
        <v>79</v>
      </c>
    </row>
    <row r="13" spans="1:10" x14ac:dyDescent="0.45">
      <c r="B13" s="3">
        <f t="shared" si="0"/>
        <v>4</v>
      </c>
      <c r="C13" s="1"/>
      <c r="D13" s="1"/>
      <c r="E13" s="2"/>
    </row>
    <row r="14" spans="1:10" x14ac:dyDescent="0.45">
      <c r="B14" s="3">
        <f t="shared" si="0"/>
        <v>5</v>
      </c>
      <c r="C14" s="1"/>
      <c r="D14" s="1"/>
      <c r="E14" s="2"/>
    </row>
    <row r="15" spans="1:10" x14ac:dyDescent="0.45">
      <c r="B15" s="3">
        <f t="shared" si="0"/>
        <v>6</v>
      </c>
      <c r="C15" s="1"/>
      <c r="D15" s="1"/>
      <c r="E15" s="2"/>
    </row>
    <row r="16" spans="1:10" x14ac:dyDescent="0.45">
      <c r="B16" s="3">
        <f t="shared" si="0"/>
        <v>7</v>
      </c>
      <c r="C16" s="1"/>
      <c r="D16" s="1"/>
      <c r="E16" s="2"/>
    </row>
    <row r="17" spans="2:5" x14ac:dyDescent="0.45">
      <c r="B17" s="3">
        <f t="shared" si="0"/>
        <v>8</v>
      </c>
      <c r="C17" s="1"/>
      <c r="D17" s="1"/>
      <c r="E17" s="2"/>
    </row>
    <row r="18" spans="2:5" x14ac:dyDescent="0.45">
      <c r="B18" s="3">
        <f t="shared" si="0"/>
        <v>9</v>
      </c>
      <c r="C18" s="3"/>
      <c r="D18" s="3"/>
      <c r="E18" s="15"/>
    </row>
    <row r="19" spans="2:5" x14ac:dyDescent="0.45">
      <c r="B19" s="3">
        <f t="shared" si="0"/>
        <v>10</v>
      </c>
      <c r="C19" s="3"/>
      <c r="D19" s="3"/>
      <c r="E19" s="15"/>
    </row>
    <row r="20" spans="2:5" x14ac:dyDescent="0.45">
      <c r="B20" s="3">
        <f t="shared" si="0"/>
        <v>11</v>
      </c>
      <c r="C20" s="3"/>
      <c r="D20" s="3"/>
      <c r="E20" s="15"/>
    </row>
    <row r="21" spans="2:5" x14ac:dyDescent="0.45">
      <c r="B21" s="3">
        <f t="shared" si="0"/>
        <v>12</v>
      </c>
      <c r="C21" s="3"/>
      <c r="D21" s="3"/>
      <c r="E21" s="15"/>
    </row>
    <row r="22" spans="2:5" x14ac:dyDescent="0.45">
      <c r="B22" s="3">
        <f t="shared" si="0"/>
        <v>13</v>
      </c>
      <c r="C22" s="3"/>
      <c r="D22" s="3"/>
      <c r="E22" s="15"/>
    </row>
    <row r="23" spans="2:5" x14ac:dyDescent="0.45">
      <c r="B23" s="3">
        <f t="shared" si="0"/>
        <v>14</v>
      </c>
      <c r="C23" s="3"/>
      <c r="D23" s="3"/>
      <c r="E23" s="15"/>
    </row>
    <row r="24" spans="2:5" x14ac:dyDescent="0.45">
      <c r="B24" s="3">
        <f t="shared" si="0"/>
        <v>15</v>
      </c>
      <c r="C24" s="3"/>
      <c r="D24" s="3"/>
      <c r="E24" s="15"/>
    </row>
    <row r="25" spans="2:5" x14ac:dyDescent="0.45">
      <c r="B25" s="3">
        <f t="shared" si="0"/>
        <v>16</v>
      </c>
      <c r="C25" s="3"/>
      <c r="D25" s="3"/>
      <c r="E25" s="15"/>
    </row>
    <row r="27" spans="2:5" x14ac:dyDescent="0.45">
      <c r="C27" s="11" t="s">
        <v>8</v>
      </c>
      <c r="D27" s="12"/>
      <c r="E27" s="1" t="s">
        <v>38</v>
      </c>
    </row>
  </sheetData>
  <mergeCells count="6">
    <mergeCell ref="D7:E7"/>
    <mergeCell ref="H1:J1"/>
    <mergeCell ref="B2:E2"/>
    <mergeCell ref="D4:E4"/>
    <mergeCell ref="D6:E6"/>
    <mergeCell ref="D5:E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J28"/>
  <sheetViews>
    <sheetView topLeftCell="A10" zoomScale="136" workbookViewId="0">
      <selection activeCell="E12" sqref="E12"/>
    </sheetView>
  </sheetViews>
  <sheetFormatPr defaultColWidth="9" defaultRowHeight="14.25" x14ac:dyDescent="0.45"/>
  <cols>
    <col min="1" max="1" width="9" style="6"/>
    <col min="2" max="2" width="12.265625" style="6" customWidth="1"/>
    <col min="3" max="4" width="16.265625" style="6" customWidth="1"/>
    <col min="5" max="5" width="41.3984375" style="6" customWidth="1"/>
    <col min="6" max="8" width="9" style="6"/>
    <col min="9" max="9" width="22" style="6" customWidth="1"/>
    <col min="10" max="16384" width="9" style="6"/>
  </cols>
  <sheetData>
    <row r="1" spans="1:10" ht="15.75" x14ac:dyDescent="0.5">
      <c r="A1" s="4"/>
      <c r="B1" s="5" t="s">
        <v>3</v>
      </c>
      <c r="H1" s="28" t="s">
        <v>20</v>
      </c>
      <c r="I1" s="28"/>
      <c r="J1" s="28"/>
    </row>
    <row r="2" spans="1:10" x14ac:dyDescent="0.45">
      <c r="B2" s="30" t="s">
        <v>15</v>
      </c>
      <c r="C2" s="30"/>
      <c r="D2" s="30"/>
      <c r="E2" s="30"/>
      <c r="H2" s="3"/>
      <c r="I2" s="19" t="s">
        <v>27</v>
      </c>
      <c r="J2" s="17" t="s">
        <v>21</v>
      </c>
    </row>
    <row r="3" spans="1:10" x14ac:dyDescent="0.45">
      <c r="H3" s="17" t="s">
        <v>17</v>
      </c>
      <c r="I3" s="17" t="s">
        <v>33</v>
      </c>
      <c r="J3" s="17">
        <v>237</v>
      </c>
    </row>
    <row r="4" spans="1:10" x14ac:dyDescent="0.45">
      <c r="C4" s="7" t="s">
        <v>0</v>
      </c>
      <c r="D4" s="36" t="s">
        <v>12</v>
      </c>
      <c r="E4" s="36"/>
      <c r="H4" s="17" t="s">
        <v>18</v>
      </c>
      <c r="I4" s="3" t="s">
        <v>32</v>
      </c>
      <c r="J4" s="3">
        <v>237</v>
      </c>
    </row>
    <row r="5" spans="1:10" x14ac:dyDescent="0.45">
      <c r="C5" s="7" t="s">
        <v>10</v>
      </c>
      <c r="D5" s="37" t="s">
        <v>30</v>
      </c>
      <c r="E5" s="38"/>
      <c r="H5" s="17" t="s">
        <v>19</v>
      </c>
      <c r="I5" s="22" t="s">
        <v>31</v>
      </c>
      <c r="J5" s="3">
        <v>237</v>
      </c>
    </row>
    <row r="6" spans="1:10" x14ac:dyDescent="0.45">
      <c r="B6" s="8"/>
      <c r="C6" s="9" t="s">
        <v>2</v>
      </c>
      <c r="D6" s="27" t="s">
        <v>30</v>
      </c>
      <c r="E6" s="27"/>
    </row>
    <row r="7" spans="1:10" x14ac:dyDescent="0.45">
      <c r="C7" s="9" t="s">
        <v>1</v>
      </c>
      <c r="D7" s="26">
        <v>46094</v>
      </c>
      <c r="E7" s="27"/>
    </row>
    <row r="9" spans="1:10" x14ac:dyDescent="0.45">
      <c r="B9" s="10" t="s">
        <v>4</v>
      </c>
      <c r="C9" s="10" t="s">
        <v>5</v>
      </c>
      <c r="D9" s="10" t="s">
        <v>6</v>
      </c>
      <c r="E9" s="10" t="s">
        <v>7</v>
      </c>
    </row>
    <row r="10" spans="1:10" ht="128.25" x14ac:dyDescent="0.45">
      <c r="B10" s="23">
        <v>1</v>
      </c>
      <c r="C10" s="23" t="s">
        <v>44</v>
      </c>
      <c r="D10" s="24" t="s">
        <v>49</v>
      </c>
      <c r="E10" s="24" t="s">
        <v>76</v>
      </c>
    </row>
    <row r="11" spans="1:10" ht="142.5" x14ac:dyDescent="0.45">
      <c r="B11" s="23">
        <f>B10+1</f>
        <v>2</v>
      </c>
      <c r="C11" s="23" t="s">
        <v>45</v>
      </c>
      <c r="D11" s="24" t="s">
        <v>48</v>
      </c>
      <c r="E11" s="24" t="s">
        <v>80</v>
      </c>
    </row>
    <row r="12" spans="1:10" ht="114" x14ac:dyDescent="0.45">
      <c r="B12" s="23">
        <f t="shared" ref="B12:B26" si="0">B11+1</f>
        <v>3</v>
      </c>
      <c r="C12" s="23" t="s">
        <v>46</v>
      </c>
      <c r="D12" s="23" t="s">
        <v>47</v>
      </c>
      <c r="E12" s="24" t="s">
        <v>75</v>
      </c>
    </row>
    <row r="13" spans="1:10" x14ac:dyDescent="0.45">
      <c r="B13" s="3">
        <f t="shared" si="0"/>
        <v>4</v>
      </c>
      <c r="C13" s="1"/>
      <c r="D13" s="1"/>
      <c r="E13" s="2"/>
    </row>
    <row r="14" spans="1:10" x14ac:dyDescent="0.45">
      <c r="B14" s="3">
        <f t="shared" si="0"/>
        <v>5</v>
      </c>
      <c r="C14" s="1"/>
      <c r="D14" s="2"/>
      <c r="E14" s="2"/>
    </row>
    <row r="15" spans="1:10" x14ac:dyDescent="0.45">
      <c r="B15" s="3">
        <f t="shared" si="0"/>
        <v>6</v>
      </c>
      <c r="C15" s="1"/>
      <c r="D15" s="1"/>
      <c r="E15" s="2"/>
    </row>
    <row r="16" spans="1:10" x14ac:dyDescent="0.45">
      <c r="B16" s="3">
        <f t="shared" si="0"/>
        <v>7</v>
      </c>
      <c r="C16" s="1"/>
      <c r="D16" s="2"/>
      <c r="E16" s="2"/>
    </row>
    <row r="17" spans="2:5" x14ac:dyDescent="0.45">
      <c r="B17" s="3">
        <f t="shared" si="0"/>
        <v>8</v>
      </c>
      <c r="C17" s="1"/>
      <c r="D17" s="2"/>
      <c r="E17" s="2"/>
    </row>
    <row r="18" spans="2:5" x14ac:dyDescent="0.45">
      <c r="B18" s="3">
        <f t="shared" si="0"/>
        <v>9</v>
      </c>
      <c r="C18" s="1"/>
      <c r="D18" s="1"/>
      <c r="E18" s="2"/>
    </row>
    <row r="19" spans="2:5" x14ac:dyDescent="0.45">
      <c r="B19" s="3">
        <f t="shared" si="0"/>
        <v>10</v>
      </c>
      <c r="C19" s="1"/>
      <c r="D19" s="2"/>
      <c r="E19" s="2"/>
    </row>
    <row r="20" spans="2:5" x14ac:dyDescent="0.45">
      <c r="B20" s="3">
        <f t="shared" si="0"/>
        <v>11</v>
      </c>
      <c r="C20" s="1"/>
      <c r="D20" s="1"/>
      <c r="E20" s="2"/>
    </row>
    <row r="21" spans="2:5" x14ac:dyDescent="0.45">
      <c r="B21" s="3">
        <f t="shared" si="0"/>
        <v>12</v>
      </c>
      <c r="C21" s="1"/>
      <c r="D21" s="1"/>
      <c r="E21" s="2"/>
    </row>
    <row r="22" spans="2:5" x14ac:dyDescent="0.45">
      <c r="B22" s="3">
        <f t="shared" si="0"/>
        <v>13</v>
      </c>
      <c r="C22" s="1"/>
      <c r="D22" s="1"/>
      <c r="E22" s="2"/>
    </row>
    <row r="23" spans="2:5" x14ac:dyDescent="0.45">
      <c r="B23" s="3">
        <f t="shared" si="0"/>
        <v>14</v>
      </c>
      <c r="C23" s="1"/>
      <c r="D23" s="1"/>
      <c r="E23" s="2"/>
    </row>
    <row r="24" spans="2:5" x14ac:dyDescent="0.45">
      <c r="B24" s="3">
        <f t="shared" si="0"/>
        <v>15</v>
      </c>
      <c r="C24" s="1"/>
      <c r="D24" s="1"/>
      <c r="E24" s="2"/>
    </row>
    <row r="25" spans="2:5" x14ac:dyDescent="0.45">
      <c r="B25" s="3">
        <f t="shared" si="0"/>
        <v>16</v>
      </c>
      <c r="C25" s="1"/>
      <c r="D25" s="1"/>
      <c r="E25" s="2"/>
    </row>
    <row r="26" spans="2:5" x14ac:dyDescent="0.45">
      <c r="B26" s="3">
        <f t="shared" si="0"/>
        <v>17</v>
      </c>
      <c r="C26" s="1"/>
      <c r="D26" s="1"/>
      <c r="E26" s="2"/>
    </row>
    <row r="28" spans="2:5" x14ac:dyDescent="0.45">
      <c r="C28" s="11" t="s">
        <v>8</v>
      </c>
      <c r="D28" s="12"/>
      <c r="E28" s="1" t="s">
        <v>38</v>
      </c>
    </row>
  </sheetData>
  <mergeCells count="6">
    <mergeCell ref="H1:J1"/>
    <mergeCell ref="B2:E2"/>
    <mergeCell ref="D4:E4"/>
    <mergeCell ref="D6:E6"/>
    <mergeCell ref="D7:E7"/>
    <mergeCell ref="D5:E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J32"/>
  <sheetViews>
    <sheetView topLeftCell="B8" zoomScale="129" workbookViewId="0">
      <selection activeCell="A10" sqref="A10"/>
    </sheetView>
  </sheetViews>
  <sheetFormatPr defaultColWidth="9" defaultRowHeight="14.25" x14ac:dyDescent="0.45"/>
  <cols>
    <col min="1" max="1" width="9" style="6"/>
    <col min="2" max="2" width="12.265625" style="6" customWidth="1"/>
    <col min="3" max="3" width="16.265625" style="6" customWidth="1"/>
    <col min="4" max="4" width="18" style="6" customWidth="1"/>
    <col min="5" max="5" width="41.3984375" style="6" customWidth="1"/>
    <col min="6" max="8" width="9" style="6"/>
    <col min="9" max="9" width="26.73046875" style="6" customWidth="1"/>
    <col min="10" max="16384" width="9" style="6"/>
  </cols>
  <sheetData>
    <row r="1" spans="1:10" ht="15.75" x14ac:dyDescent="0.5">
      <c r="A1" s="4"/>
      <c r="B1" s="5" t="s">
        <v>3</v>
      </c>
      <c r="H1" s="28" t="s">
        <v>20</v>
      </c>
      <c r="I1" s="28"/>
      <c r="J1" s="28"/>
    </row>
    <row r="2" spans="1:10" x14ac:dyDescent="0.45">
      <c r="B2" s="30" t="s">
        <v>14</v>
      </c>
      <c r="C2" s="30"/>
      <c r="D2" s="30"/>
      <c r="E2" s="30"/>
      <c r="H2" s="3"/>
      <c r="I2" s="19" t="s">
        <v>27</v>
      </c>
      <c r="J2" s="17" t="s">
        <v>21</v>
      </c>
    </row>
    <row r="3" spans="1:10" x14ac:dyDescent="0.45">
      <c r="H3" s="17" t="s">
        <v>17</v>
      </c>
      <c r="I3" s="17" t="s">
        <v>33</v>
      </c>
      <c r="J3" s="17">
        <v>237</v>
      </c>
    </row>
    <row r="4" spans="1:10" x14ac:dyDescent="0.45">
      <c r="C4" s="16" t="s">
        <v>0</v>
      </c>
      <c r="D4" s="29" t="s">
        <v>13</v>
      </c>
      <c r="E4" s="29"/>
      <c r="H4" s="17" t="s">
        <v>18</v>
      </c>
      <c r="I4" s="3" t="s">
        <v>32</v>
      </c>
      <c r="J4" s="3">
        <v>237</v>
      </c>
    </row>
    <row r="5" spans="1:10" x14ac:dyDescent="0.45">
      <c r="C5" s="16" t="s">
        <v>9</v>
      </c>
      <c r="D5" s="31" t="s">
        <v>30</v>
      </c>
      <c r="E5" s="32"/>
      <c r="H5" s="17" t="s">
        <v>19</v>
      </c>
      <c r="I5" s="22" t="s">
        <v>31</v>
      </c>
      <c r="J5" s="3">
        <v>237</v>
      </c>
    </row>
    <row r="6" spans="1:10" x14ac:dyDescent="0.45">
      <c r="B6" s="8"/>
      <c r="C6" s="9" t="s">
        <v>2</v>
      </c>
      <c r="D6" s="27" t="s">
        <v>30</v>
      </c>
      <c r="E6" s="27"/>
    </row>
    <row r="7" spans="1:10" x14ac:dyDescent="0.45">
      <c r="C7" s="9" t="s">
        <v>1</v>
      </c>
      <c r="D7" s="26">
        <v>46094</v>
      </c>
      <c r="E7" s="27"/>
    </row>
    <row r="9" spans="1:10" x14ac:dyDescent="0.45">
      <c r="B9" s="10" t="s">
        <v>4</v>
      </c>
      <c r="C9" s="10" t="s">
        <v>5</v>
      </c>
      <c r="D9" s="10" t="s">
        <v>6</v>
      </c>
      <c r="E9" s="10" t="s">
        <v>7</v>
      </c>
    </row>
    <row r="10" spans="1:10" ht="171" x14ac:dyDescent="0.45">
      <c r="A10" s="21" t="s">
        <v>81</v>
      </c>
      <c r="B10" s="24">
        <v>1</v>
      </c>
      <c r="C10" s="24" t="s">
        <v>40</v>
      </c>
      <c r="D10" s="24" t="s">
        <v>39</v>
      </c>
      <c r="E10" s="24" t="s">
        <v>71</v>
      </c>
    </row>
    <row r="11" spans="1:10" ht="171" x14ac:dyDescent="0.45">
      <c r="B11" s="24">
        <f>B10+1</f>
        <v>2</v>
      </c>
      <c r="C11" s="24" t="s">
        <v>41</v>
      </c>
      <c r="D11" s="24" t="s">
        <v>43</v>
      </c>
      <c r="E11" s="24" t="s">
        <v>72</v>
      </c>
    </row>
    <row r="12" spans="1:10" ht="156.75" x14ac:dyDescent="0.45">
      <c r="B12" s="24">
        <f t="shared" ref="B12:B30" si="0">B11+1</f>
        <v>3</v>
      </c>
      <c r="C12" s="24" t="s">
        <v>42</v>
      </c>
      <c r="D12" s="24" t="s">
        <v>73</v>
      </c>
      <c r="E12" s="24" t="s">
        <v>74</v>
      </c>
    </row>
    <row r="13" spans="1:10" x14ac:dyDescent="0.45">
      <c r="B13" s="3">
        <f t="shared" si="0"/>
        <v>4</v>
      </c>
      <c r="C13" s="1"/>
      <c r="D13" s="2"/>
      <c r="E13" s="2"/>
    </row>
    <row r="14" spans="1:10" x14ac:dyDescent="0.45">
      <c r="B14" s="3">
        <f t="shared" si="0"/>
        <v>5</v>
      </c>
      <c r="C14" s="1"/>
      <c r="D14" s="2"/>
      <c r="E14" s="2"/>
    </row>
    <row r="15" spans="1:10" x14ac:dyDescent="0.45">
      <c r="B15" s="3">
        <f t="shared" si="0"/>
        <v>6</v>
      </c>
      <c r="C15" s="1"/>
      <c r="D15" s="2"/>
      <c r="E15" s="2"/>
    </row>
    <row r="16" spans="1:10" x14ac:dyDescent="0.45">
      <c r="B16" s="3">
        <f t="shared" si="0"/>
        <v>7</v>
      </c>
      <c r="C16" s="1"/>
      <c r="D16" s="2"/>
      <c r="E16" s="2"/>
    </row>
    <row r="17" spans="2:5" x14ac:dyDescent="0.45">
      <c r="B17" s="3">
        <f t="shared" si="0"/>
        <v>8</v>
      </c>
      <c r="C17" s="1"/>
      <c r="D17" s="2"/>
      <c r="E17" s="2"/>
    </row>
    <row r="18" spans="2:5" x14ac:dyDescent="0.45">
      <c r="B18" s="3">
        <f t="shared" si="0"/>
        <v>9</v>
      </c>
      <c r="C18" s="1"/>
      <c r="D18" s="2"/>
      <c r="E18" s="2"/>
    </row>
    <row r="19" spans="2:5" x14ac:dyDescent="0.45">
      <c r="B19" s="3">
        <f t="shared" si="0"/>
        <v>10</v>
      </c>
      <c r="C19" s="1"/>
      <c r="D19" s="1"/>
      <c r="E19" s="2"/>
    </row>
    <row r="20" spans="2:5" x14ac:dyDescent="0.45">
      <c r="B20" s="3">
        <f t="shared" si="0"/>
        <v>11</v>
      </c>
      <c r="C20" s="1"/>
      <c r="D20" s="2"/>
      <c r="E20" s="2"/>
    </row>
    <row r="21" spans="2:5" x14ac:dyDescent="0.45">
      <c r="B21" s="3">
        <f t="shared" si="0"/>
        <v>12</v>
      </c>
      <c r="C21" s="1"/>
      <c r="D21" s="1"/>
      <c r="E21" s="2"/>
    </row>
    <row r="22" spans="2:5" x14ac:dyDescent="0.45">
      <c r="B22" s="3">
        <f t="shared" si="0"/>
        <v>13</v>
      </c>
      <c r="C22" s="1"/>
      <c r="D22" s="2"/>
      <c r="E22" s="2"/>
    </row>
    <row r="23" spans="2:5" x14ac:dyDescent="0.45">
      <c r="B23" s="3">
        <f t="shared" si="0"/>
        <v>14</v>
      </c>
      <c r="C23" s="1"/>
      <c r="D23" s="2"/>
      <c r="E23" s="2"/>
    </row>
    <row r="24" spans="2:5" x14ac:dyDescent="0.45">
      <c r="B24" s="3">
        <f t="shared" si="0"/>
        <v>15</v>
      </c>
      <c r="C24" s="1"/>
      <c r="D24" s="2"/>
      <c r="E24" s="2"/>
    </row>
    <row r="25" spans="2:5" x14ac:dyDescent="0.45">
      <c r="B25" s="3">
        <f t="shared" si="0"/>
        <v>16</v>
      </c>
      <c r="C25" s="1"/>
      <c r="D25" s="2"/>
      <c r="E25" s="2"/>
    </row>
    <row r="26" spans="2:5" x14ac:dyDescent="0.45">
      <c r="B26" s="3">
        <f t="shared" si="0"/>
        <v>17</v>
      </c>
      <c r="C26" s="1"/>
      <c r="D26" s="1"/>
      <c r="E26" s="2"/>
    </row>
    <row r="27" spans="2:5" x14ac:dyDescent="0.45">
      <c r="B27" s="3">
        <f t="shared" si="0"/>
        <v>18</v>
      </c>
      <c r="C27" s="1"/>
      <c r="D27" s="2"/>
      <c r="E27" s="1"/>
    </row>
    <row r="28" spans="2:5" x14ac:dyDescent="0.45">
      <c r="B28" s="3">
        <f t="shared" si="0"/>
        <v>19</v>
      </c>
      <c r="C28" s="1"/>
      <c r="D28" s="2"/>
      <c r="E28" s="2"/>
    </row>
    <row r="29" spans="2:5" x14ac:dyDescent="0.45">
      <c r="B29" s="3">
        <f t="shared" si="0"/>
        <v>20</v>
      </c>
      <c r="C29" s="1"/>
      <c r="D29" s="2"/>
      <c r="E29" s="2"/>
    </row>
    <row r="30" spans="2:5" x14ac:dyDescent="0.45">
      <c r="B30" s="3">
        <f t="shared" si="0"/>
        <v>21</v>
      </c>
      <c r="C30" s="1"/>
      <c r="D30" s="2"/>
      <c r="E30" s="2"/>
    </row>
    <row r="32" spans="2:5" x14ac:dyDescent="0.45">
      <c r="C32" s="11" t="s">
        <v>8</v>
      </c>
      <c r="D32" s="12"/>
      <c r="E32" s="1" t="s">
        <v>38</v>
      </c>
    </row>
  </sheetData>
  <mergeCells count="6">
    <mergeCell ref="D7:E7"/>
    <mergeCell ref="H1:J1"/>
    <mergeCell ref="D4:E4"/>
    <mergeCell ref="D6:E6"/>
    <mergeCell ref="B2:E2"/>
    <mergeCell ref="D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J35"/>
  <sheetViews>
    <sheetView tabSelected="1" topLeftCell="A5" zoomScale="122" workbookViewId="0">
      <selection activeCell="G14" sqref="G14"/>
    </sheetView>
  </sheetViews>
  <sheetFormatPr defaultColWidth="9" defaultRowHeight="14.25" x14ac:dyDescent="0.45"/>
  <cols>
    <col min="1" max="1" width="9" style="6"/>
    <col min="2" max="2" width="12.265625" style="6" customWidth="1"/>
    <col min="3" max="3" width="16.265625" style="6" customWidth="1"/>
    <col min="4" max="4" width="18" style="6" customWidth="1"/>
    <col min="5" max="5" width="24" style="6" customWidth="1"/>
    <col min="6" max="6" width="16.59765625" style="6" customWidth="1"/>
    <col min="7" max="8" width="9" style="6"/>
    <col min="9" max="9" width="26.73046875" style="6" customWidth="1"/>
    <col min="10" max="16384" width="9" style="6"/>
  </cols>
  <sheetData>
    <row r="1" spans="1:10" ht="15.75" x14ac:dyDescent="0.5">
      <c r="A1" s="4"/>
      <c r="B1" s="5" t="s">
        <v>3</v>
      </c>
      <c r="H1" s="28" t="s">
        <v>20</v>
      </c>
      <c r="I1" s="28"/>
      <c r="J1" s="28"/>
    </row>
    <row r="2" spans="1:10" x14ac:dyDescent="0.45">
      <c r="B2" s="30" t="s">
        <v>28</v>
      </c>
      <c r="C2" s="30"/>
      <c r="D2" s="30"/>
      <c r="E2" s="30"/>
      <c r="H2" s="3"/>
      <c r="I2" s="19" t="s">
        <v>27</v>
      </c>
      <c r="J2" s="17" t="s">
        <v>21</v>
      </c>
    </row>
    <row r="3" spans="1:10" x14ac:dyDescent="0.45">
      <c r="H3" s="17" t="s">
        <v>17</v>
      </c>
      <c r="I3" s="17" t="s">
        <v>33</v>
      </c>
      <c r="J3" s="17">
        <v>237</v>
      </c>
    </row>
    <row r="4" spans="1:10" x14ac:dyDescent="0.45">
      <c r="C4" s="16" t="s">
        <v>22</v>
      </c>
      <c r="D4" s="29"/>
      <c r="E4" s="29"/>
      <c r="H4" s="17" t="s">
        <v>18</v>
      </c>
      <c r="I4" s="3" t="s">
        <v>32</v>
      </c>
      <c r="J4" s="3">
        <v>237</v>
      </c>
    </row>
    <row r="5" spans="1:10" x14ac:dyDescent="0.45">
      <c r="C5" s="9" t="s">
        <v>2</v>
      </c>
      <c r="D5" s="27" t="s">
        <v>30</v>
      </c>
      <c r="E5" s="27"/>
      <c r="H5" s="17" t="s">
        <v>19</v>
      </c>
      <c r="I5" s="22" t="s">
        <v>31</v>
      </c>
      <c r="J5" s="3">
        <v>237</v>
      </c>
    </row>
    <row r="6" spans="1:10" x14ac:dyDescent="0.45">
      <c r="B6" s="8"/>
      <c r="C6" s="9" t="s">
        <v>1</v>
      </c>
      <c r="D6" s="26">
        <v>46094</v>
      </c>
      <c r="E6" s="27"/>
      <c r="F6" s="20"/>
    </row>
    <row r="9" spans="1:10" x14ac:dyDescent="0.45">
      <c r="B9" s="10" t="s">
        <v>4</v>
      </c>
      <c r="C9" s="10" t="s">
        <v>25</v>
      </c>
      <c r="D9" s="10" t="s">
        <v>24</v>
      </c>
      <c r="E9" s="10" t="s">
        <v>23</v>
      </c>
      <c r="F9" s="10" t="s">
        <v>26</v>
      </c>
    </row>
    <row r="10" spans="1:10" ht="57" x14ac:dyDescent="0.45">
      <c r="B10" s="24">
        <v>1</v>
      </c>
      <c r="C10" s="24" t="s">
        <v>64</v>
      </c>
      <c r="D10" s="24" t="s">
        <v>51</v>
      </c>
      <c r="E10" s="24" t="s">
        <v>55</v>
      </c>
      <c r="F10" s="24" t="s">
        <v>54</v>
      </c>
    </row>
    <row r="11" spans="1:10" ht="42.75" x14ac:dyDescent="0.45">
      <c r="B11" s="24">
        <f>B10+1</f>
        <v>2</v>
      </c>
      <c r="C11" s="24" t="s">
        <v>65</v>
      </c>
      <c r="D11" s="24" t="s">
        <v>52</v>
      </c>
      <c r="E11" s="24" t="s">
        <v>56</v>
      </c>
      <c r="F11" s="24" t="s">
        <v>57</v>
      </c>
    </row>
    <row r="12" spans="1:10" ht="42.75" x14ac:dyDescent="0.45">
      <c r="B12" s="24">
        <f t="shared" ref="B12:B30" si="0">B11+1</f>
        <v>3</v>
      </c>
      <c r="C12" s="24" t="s">
        <v>66</v>
      </c>
      <c r="D12" s="24" t="s">
        <v>53</v>
      </c>
      <c r="E12" s="24" t="s">
        <v>58</v>
      </c>
      <c r="F12" s="24" t="s">
        <v>59</v>
      </c>
    </row>
    <row r="13" spans="1:10" ht="57" x14ac:dyDescent="0.45">
      <c r="B13" s="24">
        <f t="shared" si="0"/>
        <v>4</v>
      </c>
      <c r="C13" s="24" t="s">
        <v>67</v>
      </c>
      <c r="D13" s="24" t="s">
        <v>62</v>
      </c>
      <c r="E13" s="24" t="s">
        <v>63</v>
      </c>
      <c r="F13" s="24" t="s">
        <v>70</v>
      </c>
    </row>
    <row r="14" spans="1:10" ht="42.75" x14ac:dyDescent="0.45">
      <c r="B14" s="24">
        <f t="shared" si="0"/>
        <v>5</v>
      </c>
      <c r="C14" s="24" t="s">
        <v>68</v>
      </c>
      <c r="D14" s="24" t="s">
        <v>60</v>
      </c>
      <c r="E14" s="24" t="s">
        <v>61</v>
      </c>
      <c r="F14" s="24" t="s">
        <v>69</v>
      </c>
    </row>
    <row r="15" spans="1:10" x14ac:dyDescent="0.45">
      <c r="B15" s="3">
        <f t="shared" si="0"/>
        <v>6</v>
      </c>
      <c r="C15" s="1"/>
      <c r="D15" s="2"/>
      <c r="E15" s="2"/>
      <c r="F15" s="2"/>
    </row>
    <row r="16" spans="1:10" x14ac:dyDescent="0.45">
      <c r="B16" s="3">
        <f t="shared" si="0"/>
        <v>7</v>
      </c>
      <c r="C16" s="1"/>
      <c r="D16" s="2"/>
      <c r="E16" s="2"/>
      <c r="F16" s="2"/>
    </row>
    <row r="17" spans="2:6" x14ac:dyDescent="0.45">
      <c r="B17" s="3">
        <f t="shared" si="0"/>
        <v>8</v>
      </c>
      <c r="C17" s="1"/>
      <c r="D17" s="2"/>
      <c r="E17" s="2"/>
      <c r="F17" s="2"/>
    </row>
    <row r="18" spans="2:6" x14ac:dyDescent="0.45">
      <c r="B18" s="3">
        <f t="shared" si="0"/>
        <v>9</v>
      </c>
      <c r="C18" s="1"/>
      <c r="D18" s="2"/>
      <c r="E18" s="2"/>
      <c r="F18" s="2"/>
    </row>
    <row r="19" spans="2:6" x14ac:dyDescent="0.45">
      <c r="B19" s="3">
        <f t="shared" si="0"/>
        <v>10</v>
      </c>
      <c r="C19" s="1"/>
      <c r="D19" s="1"/>
      <c r="E19" s="2"/>
      <c r="F19" s="2"/>
    </row>
    <row r="20" spans="2:6" x14ac:dyDescent="0.45">
      <c r="B20" s="3">
        <f t="shared" si="0"/>
        <v>11</v>
      </c>
      <c r="C20" s="1"/>
      <c r="D20" s="2"/>
      <c r="E20" s="2"/>
      <c r="F20" s="2"/>
    </row>
    <row r="21" spans="2:6" x14ac:dyDescent="0.45">
      <c r="B21" s="3">
        <f t="shared" si="0"/>
        <v>12</v>
      </c>
      <c r="C21" s="1"/>
      <c r="D21" s="1"/>
      <c r="E21" s="2"/>
      <c r="F21" s="2"/>
    </row>
    <row r="22" spans="2:6" x14ac:dyDescent="0.45">
      <c r="B22" s="3">
        <f t="shared" si="0"/>
        <v>13</v>
      </c>
      <c r="C22" s="1"/>
      <c r="D22" s="2"/>
      <c r="E22" s="2"/>
      <c r="F22" s="2"/>
    </row>
    <row r="23" spans="2:6" x14ac:dyDescent="0.45">
      <c r="B23" s="3">
        <f t="shared" si="0"/>
        <v>14</v>
      </c>
      <c r="C23" s="1"/>
      <c r="D23" s="2"/>
      <c r="E23" s="2"/>
      <c r="F23" s="2"/>
    </row>
    <row r="24" spans="2:6" x14ac:dyDescent="0.45">
      <c r="B24" s="3">
        <f t="shared" si="0"/>
        <v>15</v>
      </c>
      <c r="C24" s="1"/>
      <c r="D24" s="2"/>
      <c r="E24" s="2"/>
      <c r="F24" s="2"/>
    </row>
    <row r="25" spans="2:6" x14ac:dyDescent="0.45">
      <c r="B25" s="3">
        <f t="shared" si="0"/>
        <v>16</v>
      </c>
      <c r="C25" s="1"/>
      <c r="D25" s="2"/>
      <c r="E25" s="2"/>
      <c r="F25" s="2"/>
    </row>
    <row r="26" spans="2:6" x14ac:dyDescent="0.45">
      <c r="B26" s="3">
        <f t="shared" si="0"/>
        <v>17</v>
      </c>
      <c r="C26" s="1"/>
      <c r="D26" s="1"/>
      <c r="E26" s="2"/>
      <c r="F26" s="2"/>
    </row>
    <row r="27" spans="2:6" x14ac:dyDescent="0.45">
      <c r="B27" s="3">
        <f t="shared" si="0"/>
        <v>18</v>
      </c>
      <c r="C27" s="1"/>
      <c r="D27" s="2"/>
      <c r="E27" s="1"/>
      <c r="F27" s="1"/>
    </row>
    <row r="28" spans="2:6" x14ac:dyDescent="0.45">
      <c r="B28" s="3">
        <f t="shared" si="0"/>
        <v>19</v>
      </c>
      <c r="C28" s="1"/>
      <c r="D28" s="2"/>
      <c r="E28" s="2"/>
      <c r="F28" s="2"/>
    </row>
    <row r="29" spans="2:6" x14ac:dyDescent="0.45">
      <c r="B29" s="3">
        <f t="shared" si="0"/>
        <v>20</v>
      </c>
      <c r="C29" s="1"/>
      <c r="D29" s="2"/>
      <c r="E29" s="2"/>
      <c r="F29" s="2"/>
    </row>
    <row r="30" spans="2:6" x14ac:dyDescent="0.45">
      <c r="B30" s="3">
        <f t="shared" si="0"/>
        <v>21</v>
      </c>
      <c r="C30" s="1"/>
      <c r="D30" s="2"/>
      <c r="E30" s="2"/>
      <c r="F30" s="2"/>
    </row>
    <row r="32" spans="2:6" x14ac:dyDescent="0.45">
      <c r="C32" s="39" t="s">
        <v>29</v>
      </c>
      <c r="D32" s="40"/>
      <c r="E32" s="40"/>
      <c r="F32" s="18" t="s">
        <v>50</v>
      </c>
    </row>
    <row r="35" spans="6:6" x14ac:dyDescent="0.45">
      <c r="F35" s="21"/>
    </row>
  </sheetData>
  <mergeCells count="6">
    <mergeCell ref="C32:E32"/>
    <mergeCell ref="H1:J1"/>
    <mergeCell ref="B2:E2"/>
    <mergeCell ref="D4:E4"/>
    <mergeCell ref="D5:E5"/>
    <mergeCell ref="D6:E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 Phase Defects</vt:lpstr>
      <vt:lpstr>Architect. Design Phase Defects</vt:lpstr>
      <vt:lpstr>Coding Phase Defects</vt:lpstr>
      <vt:lpstr>Tool-basedCodeAnalysis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Andreea</dc:creator>
  <cp:lastModifiedBy>CĂTĂLINA-IULIANA UNGUREAN</cp:lastModifiedBy>
  <dcterms:created xsi:type="dcterms:W3CDTF">2015-02-21T15:59:19Z</dcterms:created>
  <dcterms:modified xsi:type="dcterms:W3CDTF">2026-03-20T09:18:49Z</dcterms:modified>
</cp:coreProperties>
</file>