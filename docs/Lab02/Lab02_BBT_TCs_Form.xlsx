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DDF51DF3-4DDC-4FC0-A117-71E8767FE41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J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<sst xmlns="http://schemas.openxmlformats.org/spreadsheetml/2006/main" count="211" uniqueCount="106">
  <si>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</si>
  <si>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</si>
  <si>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</si>
  <si>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</si>
  <si>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</si>
  <si>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</si>
  <si>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</si>
  <si>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</si>
  <si>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</si>
  <si>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</si>
  <si>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</si>
  <si>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</si>
  <si>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</si>
  <si>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</si>
  <si>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</si>
  <si>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</si>
  <si>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</si>
  <si>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</si>
  <si>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</si>
  <si>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</si>
  <si>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</si>
  <si>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</si>
  <si>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</si>
  <si>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</si>
  <si>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</si>
  <si>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</si>
  <si>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</si>
  <si>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</si>
  <si>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</si>
  <si>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</si>
  <si>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</si>
  <si>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</si>
  <si>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</si>
  <si>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</si>
  <si>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</si>
  <si>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</si>
  <si>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...</t>
  </si>
  <si>
    <t>-</t>
  </si>
  <si>
    <t>..</t>
  </si>
  <si>
    <t>Error message-? Compiler checked</t>
  </si>
  <si>
    <t xml:space="preserve"> </t>
  </si>
  <si>
    <t>BVA Condition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</si>
  <si>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</si>
  <si>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</si>
  <si>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</si>
  <si>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</si>
  <si>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</si>
  <si>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</si>
  <si>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</si>
  <si>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BBT TCs</t>
  </si>
  <si>
    <t>Final        TC No.</t>
  </si>
  <si>
    <t>Req. ID</t>
  </si>
  <si>
    <t>ECP TCs</t>
  </si>
  <si>
    <t>BVA TCs</t>
  </si>
  <si>
    <t>actual result</t>
  </si>
  <si>
    <t>F01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</si>
  <si>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</si>
  <si>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</si>
  <si>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</si>
  <si>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</si>
  <si>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</si>
  <si>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</si>
  <si>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</si>
  <si>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</si>
  <si>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</si>
  <si>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</si>
  <si>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</si>
  <si>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nume</t>
  </si>
  <si>
    <t>pret</t>
  </si>
  <si>
    <t>tip</t>
  </si>
  <si>
    <t>Apa minerala</t>
  </si>
  <si>
    <t>WATER_BASED</t>
  </si>
  <si>
    <t>BASIC</t>
  </si>
  <si>
    <t>item added</t>
  </si>
  <si>
    <t>" "</t>
  </si>
  <si>
    <t>ECP02</t>
  </si>
  <si>
    <t>ECP01</t>
  </si>
  <si>
    <t>ECP03</t>
  </si>
  <si>
    <t>BVA04</t>
  </si>
  <si>
    <t>BVA05</t>
  </si>
  <si>
    <t>Cola</t>
  </si>
  <si>
    <t>nume is String</t>
  </si>
  <si>
    <t>pret is double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</si>
  <si>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nou( nume, pret, categorie, tip)</t>
    </r>
  </si>
  <si>
    <t>catergoie is CategorieBautura</t>
  </si>
  <si>
    <t>tip is TipBautura</t>
  </si>
  <si>
    <t>nume not String</t>
  </si>
  <si>
    <t>pret&gt;0</t>
  </si>
  <si>
    <t>pret&lt;=0</t>
  </si>
  <si>
    <t>catergoie is in CategorieBautura</t>
  </si>
  <si>
    <t>catergoie is not in CategorieBautura</t>
  </si>
  <si>
    <t>tip is in TipBautura</t>
  </si>
  <si>
    <t>tip is not in TipBautura</t>
  </si>
  <si>
    <t>1,3,5,7</t>
  </si>
  <si>
    <t>2,3,5,7</t>
  </si>
  <si>
    <t>1,4,5,7</t>
  </si>
  <si>
    <t>F01. adăugarea unui produs nou( nume, pret, categorie, tip)</t>
  </si>
  <si>
    <t>01. pret = 0.01</t>
  </si>
  <si>
    <t>02. pret=0.00</t>
  </si>
  <si>
    <t>03. pret=5,50</t>
  </si>
  <si>
    <t>04. pret=-1,50</t>
  </si>
  <si>
    <t>BVA06</t>
  </si>
  <si>
    <t>BVA07</t>
  </si>
  <si>
    <t>add method in ProductService is not validating</t>
  </si>
  <si>
    <t>added validation before saving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</si>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</sst>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/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9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2" borderId="7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3" fillId="0" borderId="0" xfId="0" applyFont="1"/>
    <xf numFmtId="0" fontId="0" fillId="0" borderId="0" xfId="0" applyAlignment="1">
      <alignment vertical="center"/>
    </xf>
    <xf numFmtId="0" fontId="17" fillId="0" borderId="0" xfId="0" applyFont="1"/>
    <xf numFmtId="0" fontId="24" fillId="0" borderId="0" xfId="0" applyFont="1"/>
    <xf numFmtId="0" fontId="18" fillId="0" borderId="12" xfId="0" applyFont="1" applyBorder="1"/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2" fillId="2" borderId="21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/>
    <xf numFmtId="2" fontId="10" fillId="0" borderId="0" xfId="0" applyNumberFormat="1" applyFont="1"/>
    <xf numFmtId="0" fontId="0" fillId="0" borderId="1" xfId="0" applyFont="1" applyBorder="1"/>
    <xf numFmtId="0" fontId="0" fillId="0" borderId="1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0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65" t="s">
        <v>0</v>
      </c>
      <c r="D1" s="66"/>
      <c r="E1" s="66"/>
      <c r="F1" s="67"/>
      <c r="H1" s="44" t="s">
        <v>1</v>
      </c>
      <c r="I1" s="44"/>
      <c r="J1" s="44"/>
    </row>
    <row r="2" spans="2:10" x14ac:dyDescent="0.25">
      <c r="H2" s="79" t="s">
        <v>2</v>
      </c>
      <c r="I2" s="79"/>
      <c r="J2" s="79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/>
      <c r="J4" s="2"/>
    </row>
    <row r="5" spans="2:10" x14ac:dyDescent="0.25">
      <c r="H5" s="2" t="s">
        <v>6</v>
      </c>
      <c r="I5" s="2"/>
      <c r="J5" s="2"/>
    </row>
    <row r="6" spans="2:10" x14ac:dyDescent="0.25">
      <c r="B6" s="30"/>
      <c r="H6" s="2" t="s">
        <v>7</v>
      </c>
      <c r="I6" s="2"/>
      <c r="J6" s="2"/>
    </row>
    <row r="7" spans="2:10" ht="14.45" customHeight="1" x14ac:dyDescent="0.25"/>
    <row r="8" spans="2:10" x14ac:dyDescent="0.25">
      <c r="B8" s="42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 t="s">
        <v>11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12</v>
      </c>
      <c r="C14" s="1"/>
      <c r="D14" s="1"/>
      <c r="E14" s="1"/>
    </row>
    <row r="15" spans="2:10" x14ac:dyDescent="0.25">
      <c r="B15" t="s">
        <v>13</v>
      </c>
      <c r="C15" s="1"/>
      <c r="D15" s="1"/>
      <c r="E15" s="1"/>
    </row>
    <row r="16" spans="2:10" x14ac:dyDescent="0.25">
      <c r="B16" t="s">
        <v>14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2" t="s">
        <v>15</v>
      </c>
    </row>
    <row r="19" spans="1:15" x14ac:dyDescent="0.25">
      <c r="B19" s="1" t="s">
        <v>16</v>
      </c>
    </row>
    <row r="20" spans="1:15" x14ac:dyDescent="0.25">
      <c r="C20" s="40" t="s">
        <v>17</v>
      </c>
    </row>
    <row r="21" spans="1:15" x14ac:dyDescent="0.25">
      <c r="B21" s="1" t="s">
        <v>18</v>
      </c>
    </row>
    <row r="22" spans="1:15" x14ac:dyDescent="0.2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1"/>
      <c r="B24" s="78" t="s">
        <v>21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</row>
    <row r="26" spans="1:15" x14ac:dyDescent="0.25">
      <c r="C26" s="4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N22"/>
  <sheetViews>
    <sheetView tabSelected="1" zoomScale="116" workbookViewId="0">
      <selection activeCell="G6" sqref="G6:N10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29.42578125" customWidth="1"/>
    <col min="14" max="14" width="5" customWidth="1"/>
  </cols>
  <sheetData>
    <row r="1" spans="2:14" x14ac:dyDescent="0.25">
      <c r="B1" s="65" t="s">
        <v>0</v>
      </c>
      <c r="C1" s="66"/>
      <c r="D1" s="66"/>
      <c r="E1" s="67"/>
    </row>
    <row r="3" spans="2:14" x14ac:dyDescent="0.25">
      <c r="B3" s="71" t="s">
        <v>83</v>
      </c>
      <c r="C3" s="72"/>
      <c r="D3" s="72"/>
      <c r="E3" s="72"/>
      <c r="F3" s="72"/>
      <c r="G3" s="73"/>
    </row>
    <row r="5" spans="2:14" x14ac:dyDescent="0.25">
      <c r="B5" s="74" t="s">
        <v>22</v>
      </c>
      <c r="C5" s="74"/>
      <c r="D5" s="74"/>
      <c r="E5" s="74"/>
      <c r="G5" s="75" t="s">
        <v>23</v>
      </c>
      <c r="H5" s="75"/>
      <c r="I5" s="75"/>
      <c r="J5" s="75"/>
      <c r="K5" s="75"/>
      <c r="L5" s="75"/>
      <c r="M5" s="75"/>
      <c r="N5" s="75"/>
    </row>
    <row r="6" spans="2:14" x14ac:dyDescent="0.25">
      <c r="B6" s="17" t="s">
        <v>24</v>
      </c>
      <c r="C6" s="17" t="s">
        <v>25</v>
      </c>
      <c r="D6" s="17" t="s">
        <v>26</v>
      </c>
      <c r="E6" s="17" t="s">
        <v>27</v>
      </c>
      <c r="G6" s="76" t="s">
        <v>28</v>
      </c>
      <c r="H6" s="57" t="s">
        <v>29</v>
      </c>
      <c r="I6" s="55" t="s">
        <v>30</v>
      </c>
      <c r="J6" s="60"/>
      <c r="K6" s="60"/>
      <c r="L6" s="60"/>
      <c r="M6" s="59" t="s">
        <v>31</v>
      </c>
      <c r="N6" s="59"/>
    </row>
    <row r="7" spans="2:14" ht="15.75" thickBot="1" x14ac:dyDescent="0.3">
      <c r="B7" s="4">
        <v>1</v>
      </c>
      <c r="C7" s="68" t="s">
        <v>81</v>
      </c>
      <c r="D7" s="4" t="s">
        <v>81</v>
      </c>
      <c r="E7" s="4"/>
      <c r="G7" s="77"/>
      <c r="H7" s="58"/>
      <c r="I7" s="20" t="s">
        <v>67</v>
      </c>
      <c r="J7" s="20" t="s">
        <v>68</v>
      </c>
      <c r="K7" s="20" t="s">
        <v>32</v>
      </c>
      <c r="L7" s="20" t="s">
        <v>69</v>
      </c>
      <c r="M7" s="55" t="s">
        <v>33</v>
      </c>
      <c r="N7" s="56"/>
    </row>
    <row r="8" spans="2:14" ht="15.75" thickTop="1" x14ac:dyDescent="0.25">
      <c r="B8" s="4">
        <v>2</v>
      </c>
      <c r="C8" s="68"/>
      <c r="D8" s="4"/>
      <c r="E8" s="4" t="s">
        <v>86</v>
      </c>
      <c r="G8" s="17">
        <v>1</v>
      </c>
      <c r="H8" s="2" t="s">
        <v>93</v>
      </c>
      <c r="I8" s="23" t="s">
        <v>70</v>
      </c>
      <c r="J8" s="120">
        <v>5.5</v>
      </c>
      <c r="K8" s="23" t="s">
        <v>71</v>
      </c>
      <c r="L8" s="23" t="s">
        <v>72</v>
      </c>
      <c r="M8" s="51" t="s">
        <v>34</v>
      </c>
      <c r="N8" s="52"/>
    </row>
    <row r="9" spans="2:14" x14ac:dyDescent="0.25">
      <c r="B9" s="4">
        <v>3</v>
      </c>
      <c r="C9" s="68" t="s">
        <v>82</v>
      </c>
      <c r="D9" s="4" t="s">
        <v>87</v>
      </c>
      <c r="E9" s="4"/>
      <c r="G9" s="17">
        <v>2</v>
      </c>
      <c r="H9" s="2" t="s">
        <v>94</v>
      </c>
      <c r="I9" s="23" t="s">
        <v>74</v>
      </c>
      <c r="J9" s="120">
        <v>5.5</v>
      </c>
      <c r="K9" s="23" t="s">
        <v>71</v>
      </c>
      <c r="L9" s="23" t="s">
        <v>72</v>
      </c>
      <c r="M9" s="51" t="s">
        <v>39</v>
      </c>
      <c r="N9" s="52"/>
    </row>
    <row r="10" spans="2:14" x14ac:dyDescent="0.25">
      <c r="B10" s="4">
        <v>4</v>
      </c>
      <c r="C10" s="68"/>
      <c r="D10" s="4"/>
      <c r="E10" s="4" t="s">
        <v>88</v>
      </c>
      <c r="G10" s="17">
        <v>3</v>
      </c>
      <c r="H10" s="121" t="s">
        <v>95</v>
      </c>
      <c r="I10" s="23" t="s">
        <v>70</v>
      </c>
      <c r="J10" s="120">
        <v>-1.5</v>
      </c>
      <c r="K10" s="23" t="s">
        <v>71</v>
      </c>
      <c r="L10" s="23" t="s">
        <v>72</v>
      </c>
      <c r="M10" s="122" t="s">
        <v>39</v>
      </c>
      <c r="N10" s="123"/>
    </row>
    <row r="11" spans="2:14" ht="15" customHeight="1" x14ac:dyDescent="0.25">
      <c r="B11" s="4">
        <v>5</v>
      </c>
      <c r="C11" s="69" t="s">
        <v>84</v>
      </c>
      <c r="D11" s="4" t="s">
        <v>89</v>
      </c>
      <c r="E11" s="4"/>
      <c r="G11" s="29"/>
      <c r="H11" s="11"/>
      <c r="I11" s="9"/>
      <c r="J11" s="118"/>
      <c r="K11" s="9"/>
      <c r="L11" s="9"/>
      <c r="M11" s="63"/>
      <c r="N11" s="64"/>
    </row>
    <row r="12" spans="2:14" x14ac:dyDescent="0.25">
      <c r="B12" s="4">
        <v>6</v>
      </c>
      <c r="C12" s="70"/>
      <c r="D12" s="4"/>
      <c r="E12" s="4" t="s">
        <v>90</v>
      </c>
      <c r="G12" s="10"/>
      <c r="H12" s="7"/>
      <c r="I12" s="12"/>
      <c r="J12" s="119"/>
      <c r="K12" s="23"/>
      <c r="L12" s="23"/>
      <c r="M12" s="61"/>
      <c r="N12" s="62"/>
    </row>
    <row r="13" spans="2:14" x14ac:dyDescent="0.25">
      <c r="B13" s="4">
        <v>7</v>
      </c>
      <c r="C13" s="69" t="s">
        <v>85</v>
      </c>
      <c r="D13" s="4" t="s">
        <v>91</v>
      </c>
      <c r="E13" s="4"/>
      <c r="G13" s="10"/>
      <c r="H13" s="7"/>
      <c r="I13" s="12"/>
      <c r="J13" s="119"/>
      <c r="K13" s="23"/>
      <c r="L13" s="23"/>
      <c r="M13" s="61"/>
      <c r="N13" s="62"/>
    </row>
    <row r="14" spans="2:14" x14ac:dyDescent="0.25">
      <c r="B14" s="4">
        <v>8</v>
      </c>
      <c r="C14" s="70"/>
      <c r="D14" s="4"/>
      <c r="E14" s="4" t="s">
        <v>92</v>
      </c>
      <c r="G14" s="16"/>
      <c r="H14" s="15"/>
      <c r="I14" s="15"/>
      <c r="J14" s="15"/>
      <c r="K14" s="15"/>
      <c r="L14" s="15"/>
      <c r="M14" s="45"/>
      <c r="N14" s="46"/>
    </row>
    <row r="15" spans="2:14" x14ac:dyDescent="0.25">
      <c r="B15" s="4">
        <v>9</v>
      </c>
      <c r="C15" s="68" t="s">
        <v>35</v>
      </c>
      <c r="D15" s="4"/>
      <c r="E15" s="4"/>
      <c r="G15" s="16"/>
      <c r="H15" s="15"/>
      <c r="I15" s="15"/>
      <c r="J15" s="15"/>
      <c r="K15" s="15"/>
      <c r="L15" s="15"/>
      <c r="M15" s="53"/>
      <c r="N15" s="54"/>
    </row>
    <row r="16" spans="2:14" x14ac:dyDescent="0.25">
      <c r="B16" s="4">
        <v>10</v>
      </c>
      <c r="C16" s="68"/>
      <c r="D16" s="4"/>
      <c r="E16" s="4"/>
      <c r="G16" s="16"/>
      <c r="H16" s="15"/>
      <c r="I16" s="15"/>
      <c r="J16" s="15"/>
      <c r="K16" s="15"/>
      <c r="L16" s="15"/>
      <c r="M16" s="53"/>
      <c r="N16" s="54"/>
    </row>
    <row r="17" spans="2:14" x14ac:dyDescent="0.25">
      <c r="B17" s="4">
        <v>11</v>
      </c>
      <c r="C17" s="68" t="s">
        <v>35</v>
      </c>
      <c r="D17" s="4"/>
      <c r="E17" s="4"/>
      <c r="G17" s="16"/>
      <c r="H17" s="15"/>
      <c r="I17" s="15"/>
      <c r="J17" s="15"/>
      <c r="K17" s="15"/>
      <c r="L17" s="15"/>
      <c r="M17" s="53"/>
      <c r="N17" s="54"/>
    </row>
    <row r="18" spans="2:14" x14ac:dyDescent="0.25">
      <c r="B18" s="4">
        <v>12</v>
      </c>
      <c r="C18" s="68"/>
      <c r="D18" s="4"/>
      <c r="E18" s="4"/>
      <c r="G18" s="16"/>
      <c r="H18" s="15"/>
      <c r="I18" s="15"/>
      <c r="J18" s="15"/>
      <c r="K18" s="15"/>
      <c r="L18" s="15"/>
      <c r="M18" s="53"/>
      <c r="N18" s="54"/>
    </row>
    <row r="19" spans="2:14" x14ac:dyDescent="0.25">
      <c r="B19" s="4">
        <v>13</v>
      </c>
      <c r="C19" s="68" t="s">
        <v>35</v>
      </c>
      <c r="D19" s="4"/>
      <c r="E19" s="4"/>
      <c r="G19" s="17"/>
      <c r="H19" s="2"/>
      <c r="I19" s="2"/>
      <c r="J19" s="2"/>
      <c r="K19" s="2"/>
      <c r="L19" s="2"/>
      <c r="M19" s="53"/>
      <c r="N19" s="54"/>
    </row>
    <row r="20" spans="2:14" x14ac:dyDescent="0.25">
      <c r="B20" s="4">
        <v>14</v>
      </c>
      <c r="C20" s="68"/>
      <c r="D20" s="4"/>
      <c r="E20" s="4"/>
    </row>
    <row r="22" spans="2:14" x14ac:dyDescent="0.25">
      <c r="D22" t="s">
        <v>40</v>
      </c>
      <c r="F22" s="50"/>
      <c r="G22" s="50"/>
    </row>
  </sheetData>
  <mergeCells count="29">
    <mergeCell ref="M11:N11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N5"/>
    <mergeCell ref="G6:G7"/>
    <mergeCell ref="M10:N10"/>
    <mergeCell ref="M11:N11"/>
    <mergeCell ref="M12:N12"/>
    <mergeCell ref="M13:N13"/>
    <mergeCell ref="M8:N8"/>
    <mergeCell ref="M9:N9"/>
    <mergeCell ref="H6:H7"/>
    <mergeCell ref="M6:N6"/>
    <mergeCell ref="I6:L6"/>
    <mergeCell ref="M7:N7"/>
    <mergeCell ref="F22:G22"/>
    <mergeCell ref="M16:N16"/>
    <mergeCell ref="M17:N17"/>
    <mergeCell ref="M18:N18"/>
    <mergeCell ref="M19:N19"/>
    <mergeCell ref="M15:N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P18"/>
  <sheetViews>
    <sheetView topLeftCell="A4" zoomScale="140" workbookViewId="0">
      <selection activeCell="I17" sqref="I17:M17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23.28515625" customWidth="1"/>
    <col min="16" max="16" width="9.42578125" customWidth="1"/>
  </cols>
  <sheetData>
    <row r="1" spans="2:16" x14ac:dyDescent="0.25">
      <c r="B1" s="65" t="s">
        <v>0</v>
      </c>
      <c r="C1" s="66"/>
      <c r="D1" s="66"/>
      <c r="E1" s="67"/>
    </row>
    <row r="3" spans="2:16" x14ac:dyDescent="0.25">
      <c r="B3" s="124" t="s">
        <v>96</v>
      </c>
      <c r="C3" s="72"/>
      <c r="D3" s="72"/>
      <c r="E3" s="72"/>
      <c r="F3" s="72"/>
      <c r="G3" s="73"/>
    </row>
    <row r="5" spans="2:16" x14ac:dyDescent="0.25">
      <c r="B5" s="86" t="s">
        <v>41</v>
      </c>
      <c r="C5" s="86"/>
      <c r="D5" s="86"/>
      <c r="E5" s="3"/>
      <c r="G5" s="75" t="s">
        <v>48</v>
      </c>
      <c r="H5" s="75"/>
      <c r="I5" s="75"/>
      <c r="J5" s="75"/>
      <c r="K5" s="75"/>
      <c r="L5" s="75"/>
      <c r="M5" s="75"/>
      <c r="N5" s="75"/>
      <c r="O5" s="75"/>
      <c r="P5" s="75"/>
    </row>
    <row r="6" spans="2:16" ht="14.45" customHeight="1" x14ac:dyDescent="0.25">
      <c r="B6" s="4" t="s">
        <v>42</v>
      </c>
      <c r="C6" s="4" t="s">
        <v>25</v>
      </c>
      <c r="D6" s="4" t="s">
        <v>41</v>
      </c>
      <c r="E6" s="8"/>
      <c r="G6" s="76" t="s">
        <v>43</v>
      </c>
      <c r="H6" s="76" t="s">
        <v>44</v>
      </c>
      <c r="I6" s="76" t="s">
        <v>45</v>
      </c>
      <c r="J6" s="57" t="s">
        <v>46</v>
      </c>
      <c r="K6" s="82" t="s">
        <v>30</v>
      </c>
      <c r="L6" s="83"/>
      <c r="M6" s="83"/>
      <c r="N6" s="83"/>
      <c r="O6" s="82" t="s">
        <v>31</v>
      </c>
      <c r="P6" s="84"/>
    </row>
    <row r="7" spans="2:16" ht="15.75" thickBot="1" x14ac:dyDescent="0.3">
      <c r="B7" s="69">
        <v>1</v>
      </c>
      <c r="C7" s="88" t="s">
        <v>82</v>
      </c>
      <c r="D7" s="2" t="s">
        <v>97</v>
      </c>
      <c r="G7" s="77"/>
      <c r="H7" s="77"/>
      <c r="I7" s="77"/>
      <c r="J7" s="58"/>
      <c r="K7" s="20" t="s">
        <v>67</v>
      </c>
      <c r="L7" s="20" t="s">
        <v>68</v>
      </c>
      <c r="M7" s="20" t="s">
        <v>32</v>
      </c>
      <c r="N7" s="20" t="s">
        <v>69</v>
      </c>
      <c r="O7" s="55" t="s">
        <v>47</v>
      </c>
      <c r="P7" s="56"/>
    </row>
    <row r="8" spans="2:16" ht="15.75" thickTop="1" x14ac:dyDescent="0.25">
      <c r="B8" s="87"/>
      <c r="C8" s="89"/>
      <c r="D8" s="2" t="s">
        <v>98</v>
      </c>
      <c r="G8" s="17">
        <v>1</v>
      </c>
      <c r="H8" s="14">
        <v>1</v>
      </c>
      <c r="I8" s="9" t="s">
        <v>78</v>
      </c>
      <c r="J8" s="13"/>
      <c r="K8" s="12" t="s">
        <v>80</v>
      </c>
      <c r="L8" s="119">
        <v>0.01</v>
      </c>
      <c r="M8" s="23" t="s">
        <v>71</v>
      </c>
      <c r="N8" s="23" t="s">
        <v>72</v>
      </c>
      <c r="O8" s="47" t="s">
        <v>73</v>
      </c>
      <c r="P8" s="48"/>
    </row>
    <row r="9" spans="2:16" x14ac:dyDescent="0.25">
      <c r="B9" s="87"/>
      <c r="C9" s="89"/>
      <c r="D9" s="2" t="s">
        <v>99</v>
      </c>
      <c r="G9" s="17">
        <v>2</v>
      </c>
      <c r="H9" s="125">
        <v>2</v>
      </c>
      <c r="I9" s="17" t="s">
        <v>79</v>
      </c>
      <c r="J9" s="126"/>
      <c r="K9" s="127" t="s">
        <v>80</v>
      </c>
      <c r="L9" s="119">
        <v>0</v>
      </c>
      <c r="M9" s="23" t="s">
        <v>71</v>
      </c>
      <c r="N9" s="23" t="s">
        <v>72</v>
      </c>
      <c r="O9" s="122" t="s">
        <v>39</v>
      </c>
      <c r="P9" s="123"/>
    </row>
    <row r="10" spans="2:16" x14ac:dyDescent="0.25">
      <c r="B10" s="87"/>
      <c r="C10" s="89"/>
      <c r="D10" s="2" t="s">
        <v>100</v>
      </c>
      <c r="G10" s="17">
        <v>3</v>
      </c>
      <c r="H10" s="14">
        <v>3</v>
      </c>
      <c r="I10" s="13" t="s">
        <v>101</v>
      </c>
      <c r="J10" s="13"/>
      <c r="K10" s="23" t="s">
        <v>70</v>
      </c>
      <c r="L10" s="119">
        <v>5.5</v>
      </c>
      <c r="M10" s="23" t="s">
        <v>71</v>
      </c>
      <c r="N10" s="23" t="s">
        <v>72</v>
      </c>
      <c r="O10" s="47" t="s">
        <v>73</v>
      </c>
      <c r="P10" s="48"/>
    </row>
    <row r="11" spans="2:16" x14ac:dyDescent="0.25">
      <c r="B11" s="87"/>
      <c r="C11" s="89"/>
      <c r="D11" s="2"/>
      <c r="G11" s="17">
        <v>4</v>
      </c>
      <c r="H11" s="14">
        <v>4</v>
      </c>
      <c r="I11" s="13" t="s">
        <v>102</v>
      </c>
      <c r="J11" s="13"/>
      <c r="K11" s="23" t="s">
        <v>70</v>
      </c>
      <c r="L11" s="119">
        <v>-1.5</v>
      </c>
      <c r="M11" s="23" t="s">
        <v>71</v>
      </c>
      <c r="N11" s="23" t="s">
        <v>72</v>
      </c>
      <c r="O11" s="122" t="s">
        <v>39</v>
      </c>
      <c r="P11" s="123"/>
    </row>
    <row r="12" spans="2:16" x14ac:dyDescent="0.25">
      <c r="B12" s="70"/>
      <c r="C12" s="90"/>
      <c r="D12" s="2"/>
      <c r="G12" s="17"/>
      <c r="H12" s="14"/>
      <c r="I12" s="13"/>
      <c r="J12" s="13"/>
      <c r="K12" s="27"/>
      <c r="L12" s="28"/>
      <c r="M12" s="28"/>
      <c r="N12" s="28"/>
      <c r="O12" s="80"/>
      <c r="P12" s="81"/>
    </row>
    <row r="13" spans="2:16" x14ac:dyDescent="0.25">
      <c r="B13" s="69">
        <v>4</v>
      </c>
      <c r="C13" s="88" t="s">
        <v>35</v>
      </c>
      <c r="D13" s="2" t="s">
        <v>35</v>
      </c>
      <c r="G13" s="17"/>
      <c r="H13" s="14"/>
      <c r="I13" s="13"/>
      <c r="J13" s="13"/>
      <c r="K13" s="28"/>
      <c r="L13" s="28"/>
      <c r="M13" s="28"/>
      <c r="N13" s="28"/>
      <c r="O13" s="80"/>
      <c r="P13" s="81"/>
    </row>
    <row r="14" spans="2:16" x14ac:dyDescent="0.25">
      <c r="B14" s="87"/>
      <c r="C14" s="89"/>
      <c r="D14" s="2" t="s">
        <v>35</v>
      </c>
    </row>
    <row r="15" spans="2:16" x14ac:dyDescent="0.25">
      <c r="B15" s="87"/>
      <c r="C15" s="89"/>
      <c r="D15" s="2" t="s">
        <v>35</v>
      </c>
    </row>
    <row r="16" spans="2:16" x14ac:dyDescent="0.25">
      <c r="B16" s="87"/>
      <c r="C16" s="89"/>
      <c r="D16" s="2" t="s">
        <v>35</v>
      </c>
      <c r="G16" s="50"/>
      <c r="H16" s="50"/>
      <c r="I16" s="85"/>
      <c r="J16" s="85"/>
      <c r="K16" s="85"/>
      <c r="L16" s="85"/>
      <c r="M16" s="85"/>
      <c r="N16" s="36"/>
    </row>
    <row r="17" spans="2:14" x14ac:dyDescent="0.25">
      <c r="B17" s="87"/>
      <c r="C17" s="89"/>
      <c r="D17" s="2" t="s">
        <v>35</v>
      </c>
      <c r="I17" s="91"/>
      <c r="J17" s="91"/>
      <c r="K17" s="91"/>
      <c r="L17" s="91"/>
      <c r="M17" s="91"/>
      <c r="N17" s="37"/>
    </row>
    <row r="18" spans="2:14" x14ac:dyDescent="0.25">
      <c r="B18" s="70"/>
      <c r="C18" s="90"/>
      <c r="D18" s="2" t="s">
        <v>35</v>
      </c>
    </row>
  </sheetData>
  <mergeCells count="22">
    <mergeCell ref="B1:E1"/>
    <mergeCell ref="G6:G7"/>
    <mergeCell ref="I6:I7"/>
    <mergeCell ref="J6:J7"/>
    <mergeCell ref="B13:B18"/>
    <mergeCell ref="C13:C18"/>
    <mergeCell ref="B7:B12"/>
    <mergeCell ref="C7:C12"/>
    <mergeCell ref="I17:M17"/>
    <mergeCell ref="G5:P5"/>
    <mergeCell ref="B3:G3"/>
    <mergeCell ref="O7:P7"/>
    <mergeCell ref="G16:H16"/>
    <mergeCell ref="I16:M16"/>
    <mergeCell ref="B5:D5"/>
    <mergeCell ref="O6:P6"/>
    <mergeCell ref="H6:H7"/>
    <mergeCell ref="O13:P13"/>
    <mergeCell ref="O9:P9"/>
    <mergeCell ref="K6:N6"/>
    <mergeCell ref="O11:P11"/>
    <mergeCell ref="O12:P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M21"/>
  <sheetViews>
    <sheetView zoomScale="108" workbookViewId="0">
      <selection activeCell="K20" sqref="K20"/>
    </sheetView>
  </sheetViews>
  <sheetFormatPr defaultRowHeight="15" x14ac:dyDescent="0.25"/>
  <cols>
    <col min="6" max="6" width="45.28515625" customWidth="1"/>
    <col min="7" max="7" width="51.140625" customWidth="1"/>
    <col min="8" max="8" width="10.5703125" customWidth="1"/>
    <col min="9" max="9" width="13.140625" bestFit="1" customWidth="1"/>
    <col min="10" max="10" width="30.28515625" bestFit="1" customWidth="1"/>
    <col min="11" max="11" width="10.85546875" customWidth="1"/>
  </cols>
  <sheetData>
    <row r="1" spans="2:11" x14ac:dyDescent="0.25">
      <c r="B1" s="65" t="s">
        <v>0</v>
      </c>
      <c r="C1" s="66"/>
      <c r="D1" s="66"/>
      <c r="E1" s="67"/>
    </row>
    <row r="3" spans="2:11" x14ac:dyDescent="0.25">
      <c r="B3" s="117" t="s">
        <v>49</v>
      </c>
      <c r="C3" s="117"/>
      <c r="D3" s="117"/>
      <c r="E3" s="117"/>
      <c r="F3" s="117"/>
      <c r="G3" s="117"/>
      <c r="H3" s="117"/>
      <c r="I3" s="117"/>
      <c r="J3" s="117"/>
      <c r="K3" s="117"/>
    </row>
    <row r="4" spans="2:11" x14ac:dyDescent="0.25">
      <c r="B4" s="76" t="s">
        <v>50</v>
      </c>
      <c r="C4" s="115" t="s">
        <v>51</v>
      </c>
      <c r="D4" s="103" t="s">
        <v>52</v>
      </c>
      <c r="E4" s="57" t="s">
        <v>53</v>
      </c>
      <c r="F4" s="55" t="s">
        <v>30</v>
      </c>
      <c r="G4" s="60"/>
      <c r="H4" s="60"/>
      <c r="I4" s="60"/>
      <c r="J4" s="59" t="s">
        <v>31</v>
      </c>
      <c r="K4" s="59"/>
    </row>
    <row r="5" spans="2:11" ht="15.75" thickBot="1" x14ac:dyDescent="0.3">
      <c r="B5" s="102"/>
      <c r="C5" s="116"/>
      <c r="D5" s="104"/>
      <c r="E5" s="114"/>
      <c r="F5" s="20" t="s">
        <v>67</v>
      </c>
      <c r="G5" s="20" t="s">
        <v>68</v>
      </c>
      <c r="H5" s="20" t="s">
        <v>32</v>
      </c>
      <c r="I5" s="20" t="s">
        <v>69</v>
      </c>
      <c r="J5" s="20" t="s">
        <v>33</v>
      </c>
      <c r="K5" s="20" t="s">
        <v>54</v>
      </c>
    </row>
    <row r="6" spans="2:11" ht="15.75" thickTop="1" x14ac:dyDescent="0.25">
      <c r="B6" s="18">
        <v>1</v>
      </c>
      <c r="C6" s="100" t="s">
        <v>55</v>
      </c>
      <c r="D6" s="24" t="s">
        <v>76</v>
      </c>
      <c r="E6" s="18" t="s">
        <v>37</v>
      </c>
      <c r="F6" s="23" t="s">
        <v>70</v>
      </c>
      <c r="G6" s="120">
        <v>5.5</v>
      </c>
      <c r="H6" s="23" t="s">
        <v>71</v>
      </c>
      <c r="I6" s="23" t="s">
        <v>72</v>
      </c>
      <c r="J6" s="23" t="s">
        <v>73</v>
      </c>
      <c r="K6" s="18" t="s">
        <v>35</v>
      </c>
    </row>
    <row r="7" spans="2:11" x14ac:dyDescent="0.25">
      <c r="B7" s="9">
        <f>B6+1</f>
        <v>2</v>
      </c>
      <c r="C7" s="100"/>
      <c r="D7" s="24" t="s">
        <v>75</v>
      </c>
      <c r="E7" s="9" t="s">
        <v>37</v>
      </c>
      <c r="F7" s="23" t="s">
        <v>74</v>
      </c>
      <c r="G7" s="120">
        <v>5.5</v>
      </c>
      <c r="H7" s="23" t="s">
        <v>71</v>
      </c>
      <c r="I7" s="23" t="s">
        <v>72</v>
      </c>
      <c r="J7" s="23" t="s">
        <v>39</v>
      </c>
      <c r="K7" s="9" t="s">
        <v>35</v>
      </c>
    </row>
    <row r="8" spans="2:11" x14ac:dyDescent="0.25">
      <c r="B8" s="9">
        <f t="shared" ref="B8:B11" si="0">B7+1</f>
        <v>3</v>
      </c>
      <c r="C8" s="100"/>
      <c r="D8" s="25" t="s">
        <v>77</v>
      </c>
      <c r="E8" s="9" t="s">
        <v>37</v>
      </c>
      <c r="F8" s="23" t="s">
        <v>70</v>
      </c>
      <c r="G8" s="120">
        <v>-1.5</v>
      </c>
      <c r="H8" s="23" t="s">
        <v>71</v>
      </c>
      <c r="I8" s="23" t="s">
        <v>72</v>
      </c>
      <c r="J8" s="23" t="s">
        <v>39</v>
      </c>
      <c r="K8" s="9" t="s">
        <v>35</v>
      </c>
    </row>
    <row r="9" spans="2:11" x14ac:dyDescent="0.25">
      <c r="B9" s="9">
        <f t="shared" si="0"/>
        <v>4</v>
      </c>
      <c r="C9" s="100"/>
      <c r="D9" s="25" t="s">
        <v>38</v>
      </c>
      <c r="E9" s="9" t="s">
        <v>36</v>
      </c>
      <c r="F9" s="9" t="s">
        <v>35</v>
      </c>
      <c r="G9" s="118" t="s">
        <v>35</v>
      </c>
      <c r="H9" s="9" t="s">
        <v>36</v>
      </c>
      <c r="I9" s="9" t="s">
        <v>35</v>
      </c>
      <c r="J9" s="9" t="s">
        <v>35</v>
      </c>
      <c r="K9" s="9" t="s">
        <v>35</v>
      </c>
    </row>
    <row r="10" spans="2:11" x14ac:dyDescent="0.25">
      <c r="B10" s="9">
        <f t="shared" si="0"/>
        <v>5</v>
      </c>
      <c r="C10" s="100"/>
      <c r="D10" s="25" t="s">
        <v>37</v>
      </c>
      <c r="E10" s="9" t="s">
        <v>78</v>
      </c>
      <c r="F10" s="12" t="s">
        <v>80</v>
      </c>
      <c r="G10" s="119">
        <v>0.01</v>
      </c>
      <c r="H10" s="23" t="s">
        <v>71</v>
      </c>
      <c r="I10" s="23" t="s">
        <v>72</v>
      </c>
      <c r="J10" s="5" t="s">
        <v>73</v>
      </c>
      <c r="K10" s="9" t="s">
        <v>35</v>
      </c>
    </row>
    <row r="11" spans="2:11" x14ac:dyDescent="0.25">
      <c r="B11" s="9">
        <f t="shared" si="0"/>
        <v>6</v>
      </c>
      <c r="C11" s="100"/>
      <c r="D11" s="25" t="s">
        <v>37</v>
      </c>
      <c r="E11" s="9" t="s">
        <v>79</v>
      </c>
      <c r="F11" s="12" t="s">
        <v>80</v>
      </c>
      <c r="G11" s="119">
        <v>0</v>
      </c>
      <c r="H11" s="23" t="s">
        <v>71</v>
      </c>
      <c r="I11" s="23" t="s">
        <v>72</v>
      </c>
      <c r="J11" s="5" t="s">
        <v>39</v>
      </c>
      <c r="K11" s="9" t="s">
        <v>35</v>
      </c>
    </row>
    <row r="12" spans="2:11" x14ac:dyDescent="0.25">
      <c r="B12" s="128"/>
      <c r="C12" s="100"/>
      <c r="D12" s="49"/>
      <c r="E12" s="128" t="s">
        <v>101</v>
      </c>
      <c r="F12" s="23" t="s">
        <v>70</v>
      </c>
      <c r="G12" s="119">
        <v>5.5</v>
      </c>
      <c r="H12" s="23" t="s">
        <v>71</v>
      </c>
      <c r="I12" s="23" t="s">
        <v>72</v>
      </c>
      <c r="J12" s="5" t="s">
        <v>73</v>
      </c>
      <c r="K12" s="128"/>
    </row>
    <row r="13" spans="2:11" ht="15.75" thickBot="1" x14ac:dyDescent="0.3">
      <c r="B13" s="19" t="e">
        <f>#REF!+1</f>
        <v>#REF!</v>
      </c>
      <c r="C13" s="101"/>
      <c r="D13" s="26" t="s">
        <v>35</v>
      </c>
      <c r="E13" s="19" t="s">
        <v>102</v>
      </c>
      <c r="F13" s="23" t="s">
        <v>70</v>
      </c>
      <c r="G13" s="119">
        <v>-1.5</v>
      </c>
      <c r="H13" s="23" t="s">
        <v>71</v>
      </c>
      <c r="I13" s="23" t="s">
        <v>72</v>
      </c>
      <c r="J13" s="5" t="s">
        <v>39</v>
      </c>
      <c r="K13" s="19" t="s">
        <v>35</v>
      </c>
    </row>
    <row r="14" spans="2:11" ht="15.75" thickTop="1" x14ac:dyDescent="0.25">
      <c r="B14" s="21"/>
      <c r="C14" s="21"/>
      <c r="D14" s="22"/>
      <c r="E14" s="21"/>
      <c r="F14" s="21"/>
      <c r="G14" s="21"/>
      <c r="H14" s="21"/>
      <c r="I14" s="21"/>
      <c r="J14" s="21"/>
      <c r="K14" s="21"/>
    </row>
    <row r="15" spans="2:11" ht="14.45" customHeight="1" x14ac:dyDescent="0.25">
      <c r="B15" s="21" t="s">
        <v>56</v>
      </c>
      <c r="C15" s="21"/>
      <c r="D15" s="22"/>
      <c r="E15" s="21"/>
      <c r="F15" s="6"/>
      <c r="G15" s="6"/>
      <c r="H15" s="6"/>
      <c r="I15" s="6"/>
      <c r="J15" s="6"/>
    </row>
    <row r="16" spans="2:11" ht="15.75" thickBot="1" x14ac:dyDescent="0.3">
      <c r="J16" s="6"/>
    </row>
    <row r="17" spans="2:13" ht="15.75" thickTop="1" x14ac:dyDescent="0.25">
      <c r="C17" s="94" t="s">
        <v>57</v>
      </c>
      <c r="D17" s="96"/>
      <c r="E17" s="96"/>
      <c r="F17" s="97"/>
      <c r="G17" s="32" t="s">
        <v>58</v>
      </c>
      <c r="H17" s="94" t="s">
        <v>59</v>
      </c>
      <c r="I17" s="95"/>
      <c r="J17" s="94" t="s">
        <v>60</v>
      </c>
      <c r="K17" s="95"/>
      <c r="L17" s="96"/>
      <c r="M17" s="97"/>
    </row>
    <row r="18" spans="2:13" ht="14.45" customHeight="1" x14ac:dyDescent="0.25">
      <c r="B18" s="107" t="s">
        <v>51</v>
      </c>
      <c r="C18" s="108" t="s">
        <v>61</v>
      </c>
      <c r="D18" s="93" t="s">
        <v>62</v>
      </c>
      <c r="E18" s="93" t="s">
        <v>63</v>
      </c>
      <c r="F18" s="92" t="s">
        <v>64</v>
      </c>
      <c r="G18" s="113" t="s">
        <v>65</v>
      </c>
      <c r="H18" s="109" t="s">
        <v>66</v>
      </c>
      <c r="I18" s="110"/>
      <c r="J18" s="98" t="s">
        <v>66</v>
      </c>
      <c r="K18" s="93" t="s">
        <v>61</v>
      </c>
      <c r="L18" s="93" t="s">
        <v>62</v>
      </c>
      <c r="M18" s="92" t="s">
        <v>63</v>
      </c>
    </row>
    <row r="19" spans="2:13" x14ac:dyDescent="0.25">
      <c r="B19" s="107"/>
      <c r="C19" s="108"/>
      <c r="D19" s="93"/>
      <c r="E19" s="93"/>
      <c r="F19" s="92"/>
      <c r="G19" s="113"/>
      <c r="H19" s="111"/>
      <c r="I19" s="112"/>
      <c r="J19" s="99"/>
      <c r="K19" s="93"/>
      <c r="L19" s="93"/>
      <c r="M19" s="92"/>
    </row>
    <row r="20" spans="2:13" x14ac:dyDescent="0.25">
      <c r="B20" s="35" t="s">
        <v>55</v>
      </c>
      <c r="C20" s="31">
        <v>7</v>
      </c>
      <c r="D20" s="33">
        <v>0</v>
      </c>
      <c r="E20" s="33">
        <v>7</v>
      </c>
      <c r="F20" s="34" t="s">
        <v>103</v>
      </c>
      <c r="G20" s="39" t="s">
        <v>104</v>
      </c>
      <c r="H20" s="105" t="s">
        <v>105</v>
      </c>
      <c r="I20" s="106"/>
      <c r="J20" s="38" t="s">
        <v>105</v>
      </c>
      <c r="K20" s="2">
        <v>7</v>
      </c>
      <c r="L20" s="33">
        <v>7</v>
      </c>
      <c r="M20" s="34">
        <v>0</v>
      </c>
    </row>
    <row r="21" spans="2:13" x14ac:dyDescent="0.25">
      <c r="J21" s="3"/>
    </row>
  </sheetData>
  <mergeCells count="24">
    <mergeCell ref="B1:E1"/>
    <mergeCell ref="J4:K4"/>
    <mergeCell ref="F4:I4"/>
    <mergeCell ref="E4:E5"/>
    <mergeCell ref="C4:C5"/>
    <mergeCell ref="B3:K3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C17:F17"/>
    <mergeCell ref="H17:I17"/>
    <mergeCell ref="H18:I19"/>
    <mergeCell ref="G18:G19"/>
    <mergeCell ref="L18:L19"/>
    <mergeCell ref="M18:M19"/>
    <mergeCell ref="J17:M17"/>
    <mergeCell ref="J18:J19"/>
    <mergeCell ref="K18:K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2026-04-02T15:43:08Z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